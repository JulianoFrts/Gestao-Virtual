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E:\FASTTEL\"/>
    </mc:Choice>
  </mc:AlternateContent>
  <xr:revisionPtr revIDLastSave="0" documentId="8_{51C7289D-21F4-4C90-838D-EEBD489E0416}" xr6:coauthVersionLast="47" xr6:coauthVersionMax="47" xr10:uidLastSave="{00000000-0000-0000-0000-000000000000}"/>
  <bookViews>
    <workbookView xWindow="-108" yWindow="-108" windowWidth="23256" windowHeight="12576" xr2:uid="{A9A5C2D7-7D60-4334-A0AE-A6B1584774B5}"/>
  </bookViews>
  <sheets>
    <sheet name="Embargos" sheetId="1" r:id="rId1"/>
  </sheets>
  <externalReferences>
    <externalReference r:id="rId2"/>
  </externalReferences>
  <definedNames>
    <definedName name="_" localSheetId="0" hidden="1">#REF!</definedName>
    <definedName name="_" hidden="1">#REF!</definedName>
    <definedName name="_.Dist_Values" localSheetId="0" hidden="1">#REF!</definedName>
    <definedName name="_.Dist_Values" hidden="1">#REF!</definedName>
    <definedName name="___" localSheetId="0" hidden="1">#REF!</definedName>
    <definedName name="___" hidden="1">#REF!</definedName>
    <definedName name="_____KJ" localSheetId="0" hidden="1">#REF!</definedName>
    <definedName name="_____KJ" hidden="1">#REF!</definedName>
    <definedName name="____14" localSheetId="0" hidden="1">#REF!</definedName>
    <definedName name="____14" hidden="1">#REF!</definedName>
    <definedName name="____15" localSheetId="0" hidden="1">#REF!</definedName>
    <definedName name="____15" hidden="1">#REF!</definedName>
    <definedName name="____FGY" localSheetId="0" hidden="1">#REF!</definedName>
    <definedName name="____FGY" hidden="1">#REF!</definedName>
    <definedName name="____G_" localSheetId="0" hidden="1">#REF!</definedName>
    <definedName name="____G_" hidden="1">#REF!</definedName>
    <definedName name="____GFGF" localSheetId="0" hidden="1">#REF!</definedName>
    <definedName name="____GFGF" hidden="1">#REF!</definedName>
    <definedName name="____GFY" localSheetId="0" hidden="1">#REF!</definedName>
    <definedName name="____GFY" hidden="1">#REF!</definedName>
    <definedName name="____GGF" localSheetId="0" hidden="1">#REF!</definedName>
    <definedName name="____GGF" hidden="1">#REF!</definedName>
    <definedName name="____GHGU" localSheetId="0" hidden="1">#REF!</definedName>
    <definedName name="____GHGU" hidden="1">#REF!</definedName>
    <definedName name="____HFGTY" localSheetId="0" hidden="1">#REF!</definedName>
    <definedName name="____HFGTY" hidden="1">#REF!</definedName>
    <definedName name="____JMNG" localSheetId="0" hidden="1">#REF!</definedName>
    <definedName name="____JMNG" hidden="1">#REF!</definedName>
    <definedName name="___146" localSheetId="0" hidden="1">#REF!</definedName>
    <definedName name="___146" hidden="1">#REF!</definedName>
    <definedName name="___15" localSheetId="0" hidden="1">#REF!</definedName>
    <definedName name="___15" hidden="1">#REF!</definedName>
    <definedName name="___JGHYU" localSheetId="0" hidden="1">#REF!</definedName>
    <definedName name="___JGHYU" hidden="1">#REF!</definedName>
    <definedName name="___JHGFYU" localSheetId="0" hidden="1">#REF!</definedName>
    <definedName name="___JHGFYU" hidden="1">#REF!</definedName>
    <definedName name="___JHU" localSheetId="0" hidden="1">#REF!</definedName>
    <definedName name="___JHU" hidden="1">#REF!</definedName>
    <definedName name="___JJ" localSheetId="0" hidden="1">#REF!</definedName>
    <definedName name="___JJ" hidden="1">#REF!</definedName>
    <definedName name="___xlfn.BAHTTEXT" hidden="1">#NAME?</definedName>
    <definedName name="__1__123Graph_ACHART_1" localSheetId="0" hidden="1">#REF!</definedName>
    <definedName name="__1__123Graph_ACHART_1" hidden="1">#REF!</definedName>
    <definedName name="__1234" localSheetId="0" hidden="1">#REF!</definedName>
    <definedName name="__1234" hidden="1">#REF!</definedName>
    <definedName name="__123Graph_A" localSheetId="0" hidden="1">#REF!</definedName>
    <definedName name="__123Graph_A" hidden="1">#REF!</definedName>
    <definedName name="__123Graph_ADISTRIBUIÇÃO" localSheetId="0" hidden="1">#REF!</definedName>
    <definedName name="__123Graph_ADISTRIBUIÇÃO" hidden="1">#REF!</definedName>
    <definedName name="__123Graph_AGRAF" localSheetId="0" hidden="1">#REF!</definedName>
    <definedName name="__123Graph_AGRAF" hidden="1">#REF!</definedName>
    <definedName name="__123Graph_AGRAFRELC" localSheetId="0" hidden="1">#REF!</definedName>
    <definedName name="__123Graph_AGRAFRELC" hidden="1">#REF!</definedName>
    <definedName name="__123Graph_B" localSheetId="0" hidden="1">#REF!</definedName>
    <definedName name="__123Graph_B" hidden="1">#REF!</definedName>
    <definedName name="__123Graph_BDISTRIBUIÇÃO" localSheetId="0" hidden="1">#REF!</definedName>
    <definedName name="__123Graph_BDISTRIBUIÇÃO" hidden="1">#REF!</definedName>
    <definedName name="__123Graph_BGRAF" localSheetId="0" hidden="1">#REF!</definedName>
    <definedName name="__123Graph_BGRAF" hidden="1">#REF!</definedName>
    <definedName name="__123Graph_CGRAF" localSheetId="0" hidden="1">#REF!</definedName>
    <definedName name="__123Graph_CGRAF" hidden="1">#REF!</definedName>
    <definedName name="__123Graph_DGRAF" localSheetId="0" hidden="1">#REF!</definedName>
    <definedName name="__123Graph_DGRAF" hidden="1">#REF!</definedName>
    <definedName name="__123Graph_EGRAF" localSheetId="0" hidden="1">#REF!</definedName>
    <definedName name="__123Graph_EGRAF" hidden="1">#REF!</definedName>
    <definedName name="__123Graph_FGRAF" localSheetId="0" hidden="1">#REF!</definedName>
    <definedName name="__123Graph_FGRAF" hidden="1">#REF!</definedName>
    <definedName name="__123Graph_X" localSheetId="0" hidden="1">#REF!</definedName>
    <definedName name="__123Graph_X" hidden="1">#REF!</definedName>
    <definedName name="__123Graph_XDISTRIBUIÇÃO" localSheetId="0" hidden="1">#REF!</definedName>
    <definedName name="__123Graph_XDISTRIBUIÇÃO" hidden="1">#REF!</definedName>
    <definedName name="__124graph_DGRAF" localSheetId="0" hidden="1">#REF!</definedName>
    <definedName name="__124graph_DGRAF" hidden="1">#REF!</definedName>
    <definedName name="__2__123Graph_BCHART_1" localSheetId="0" hidden="1">#REF!</definedName>
    <definedName name="__2__123Graph_BCHART_1" hidden="1">#REF!</definedName>
    <definedName name="__JGHU" localSheetId="0" hidden="1">#REF!</definedName>
    <definedName name="__JGHU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localSheetId="0" hidden="1">#REF!</definedName>
    <definedName name="__la31" hidden="1">#REF!</definedName>
    <definedName name="__la32" localSheetId="0" hidden="1">#REF!</definedName>
    <definedName name="__la32" hidden="1">#REF!</definedName>
    <definedName name="__la4" localSheetId="0" hidden="1">#REF!</definedName>
    <definedName name="__la4" hidden="1">#REF!</definedName>
    <definedName name="__la5" localSheetId="0" hidden="1">#REF!</definedName>
    <definedName name="__la5" hidden="1">#REF!</definedName>
    <definedName name="__la6" localSheetId="0" hidden="1">#REF!</definedName>
    <definedName name="__la6" hidden="1">#REF!</definedName>
    <definedName name="__la7" localSheetId="0" hidden="1">#REF!</definedName>
    <definedName name="__la7" hidden="1">#REF!</definedName>
    <definedName name="__la8" localSheetId="0" hidden="1">#REF!</definedName>
    <definedName name="__la8" hidden="1">#REF!</definedName>
    <definedName name="__la9" localSheetId="0" hidden="1">#REF!</definedName>
    <definedName name="__la9" hidden="1">#REF!</definedName>
    <definedName name="__lb1" localSheetId="0" hidden="1">#REF!</definedName>
    <definedName name="__lb1" hidden="1">#REF!</definedName>
    <definedName name="__lb10" localSheetId="0" hidden="1">#REF!</definedName>
    <definedName name="__lb10" hidden="1">#REF!</definedName>
    <definedName name="__lb11" localSheetId="0" hidden="1">#REF!</definedName>
    <definedName name="__lb11" hidden="1">#REF!</definedName>
    <definedName name="__lb12" localSheetId="0" hidden="1">#REF!</definedName>
    <definedName name="__lb12" hidden="1">#REF!</definedName>
    <definedName name="__lb13" localSheetId="0" hidden="1">#REF!</definedName>
    <definedName name="__lb13" hidden="1">#REF!</definedName>
    <definedName name="__lb14" localSheetId="0" hidden="1">#REF!</definedName>
    <definedName name="__lb14" hidden="1">#REF!</definedName>
    <definedName name="__lb15" localSheetId="0" hidden="1">#REF!</definedName>
    <definedName name="__lb15" hidden="1">#REF!</definedName>
    <definedName name="__lb16" localSheetId="0" hidden="1">#REF!</definedName>
    <definedName name="__lb16" hidden="1">#REF!</definedName>
    <definedName name="__lb17" localSheetId="0" hidden="1">#REF!</definedName>
    <definedName name="__lb17" hidden="1">#REF!</definedName>
    <definedName name="__lb18" localSheetId="0" hidden="1">#REF!</definedName>
    <definedName name="__lb18" hidden="1">#REF!</definedName>
    <definedName name="__lb19" localSheetId="0" hidden="1">#REF!</definedName>
    <definedName name="__lb19" hidden="1">#REF!</definedName>
    <definedName name="__lb2" localSheetId="0" hidden="1">#REF!</definedName>
    <definedName name="__lb2" hidden="1">#REF!</definedName>
    <definedName name="__lb20" localSheetId="0" hidden="1">#REF!</definedName>
    <definedName name="__lb20" hidden="1">#REF!</definedName>
    <definedName name="__lb21" localSheetId="0" hidden="1">#REF!</definedName>
    <definedName name="__lb21" hidden="1">#REF!</definedName>
    <definedName name="__lb22" localSheetId="0" hidden="1">#REF!</definedName>
    <definedName name="__lb22" hidden="1">#REF!</definedName>
    <definedName name="__lb23" localSheetId="0" hidden="1">#REF!</definedName>
    <definedName name="__lb23" hidden="1">#REF!</definedName>
    <definedName name="__lb24" localSheetId="0" hidden="1">#REF!</definedName>
    <definedName name="__lb24" hidden="1">#REF!</definedName>
    <definedName name="__lb25" localSheetId="0" hidden="1">#REF!</definedName>
    <definedName name="__lb25" hidden="1">#REF!</definedName>
    <definedName name="__lb27" localSheetId="0" hidden="1">#REF!</definedName>
    <definedName name="__lb27" hidden="1">#REF!</definedName>
    <definedName name="__lb28" localSheetId="0" hidden="1">#REF!</definedName>
    <definedName name="__lb28" hidden="1">#REF!</definedName>
    <definedName name="__lb29" localSheetId="0" hidden="1">#REF!</definedName>
    <definedName name="__lb29" hidden="1">#REF!</definedName>
    <definedName name="__lb3" localSheetId="0" hidden="1">#REF!</definedName>
    <definedName name="__lb3" hidden="1">#REF!</definedName>
    <definedName name="__lb30" localSheetId="0" hidden="1">#REF!</definedName>
    <definedName name="__lb30" hidden="1">#REF!</definedName>
    <definedName name="__lb31" localSheetId="0" hidden="1">#REF!</definedName>
    <definedName name="__lb31" hidden="1">#REF!</definedName>
    <definedName name="__lb32" localSheetId="0" hidden="1">#REF!</definedName>
    <definedName name="__lb32" hidden="1">#REF!</definedName>
    <definedName name="__lb4" localSheetId="0" hidden="1">#REF!</definedName>
    <definedName name="__lb4" hidden="1">#REF!</definedName>
    <definedName name="__lb5" localSheetId="0" hidden="1">#REF!</definedName>
    <definedName name="__lb5" hidden="1">#REF!</definedName>
    <definedName name="__lb6" localSheetId="0" hidden="1">#REF!</definedName>
    <definedName name="__lb6" hidden="1">#REF!</definedName>
    <definedName name="__lb7" localSheetId="0" hidden="1">#REF!</definedName>
    <definedName name="__lb7" hidden="1">#REF!</definedName>
    <definedName name="__lb8" localSheetId="0" hidden="1">#REF!</definedName>
    <definedName name="__lb8" hidden="1">#REF!</definedName>
    <definedName name="__lb9" localSheetId="0" hidden="1">#REF!</definedName>
    <definedName name="__lb9" hidden="1">#REF!</definedName>
    <definedName name="__lbc1" localSheetId="0" hidden="1">#REF!</definedName>
    <definedName name="__lbc1" hidden="1">#REF!</definedName>
    <definedName name="__lbc10" localSheetId="0" hidden="1">#REF!</definedName>
    <definedName name="__lbc10" hidden="1">#REF!</definedName>
    <definedName name="__lbc11" localSheetId="0" hidden="1">#REF!</definedName>
    <definedName name="__lbc11" hidden="1">#REF!</definedName>
    <definedName name="__lbc12" localSheetId="0" hidden="1">#REF!</definedName>
    <definedName name="__lbc12" hidden="1">#REF!</definedName>
    <definedName name="__lbc13" localSheetId="0" hidden="1">#REF!</definedName>
    <definedName name="__lbc13" hidden="1">#REF!</definedName>
    <definedName name="__lbc14" localSheetId="0" hidden="1">#REF!</definedName>
    <definedName name="__lbc14" hidden="1">#REF!</definedName>
    <definedName name="__lbc15" localSheetId="0" hidden="1">#REF!</definedName>
    <definedName name="__lbc15" hidden="1">#REF!</definedName>
    <definedName name="__lbc16" localSheetId="0" hidden="1">#REF!</definedName>
    <definedName name="__lbc16" hidden="1">#REF!</definedName>
    <definedName name="__lbc17" localSheetId="0" hidden="1">#REF!</definedName>
    <definedName name="__lbc17" hidden="1">#REF!</definedName>
    <definedName name="__lbc18" localSheetId="0" hidden="1">#REF!</definedName>
    <definedName name="__lbc18" hidden="1">#REF!</definedName>
    <definedName name="__lbc19" localSheetId="0" hidden="1">#REF!</definedName>
    <definedName name="__lbc19" hidden="1">#REF!</definedName>
    <definedName name="__lbc2" localSheetId="0" hidden="1">#REF!</definedName>
    <definedName name="__lbc2" hidden="1">#REF!</definedName>
    <definedName name="__lbc20" localSheetId="0" hidden="1">#REF!</definedName>
    <definedName name="__lbc20" hidden="1">#REF!</definedName>
    <definedName name="__lbc21" localSheetId="0" hidden="1">#REF!</definedName>
    <definedName name="__lbc21" hidden="1">#REF!</definedName>
    <definedName name="__lbc22" localSheetId="0" hidden="1">#REF!</definedName>
    <definedName name="__lbc22" hidden="1">#REF!</definedName>
    <definedName name="__lbc23" localSheetId="0" hidden="1">#REF!</definedName>
    <definedName name="__lbc23" hidden="1">#REF!</definedName>
    <definedName name="__lbc24" localSheetId="0" hidden="1">#REF!</definedName>
    <definedName name="__lbc24" hidden="1">#REF!</definedName>
    <definedName name="__lbc25" localSheetId="0" hidden="1">#REF!</definedName>
    <definedName name="__lbc25" hidden="1">#REF!</definedName>
    <definedName name="__lbc26" localSheetId="0" hidden="1">#REF!</definedName>
    <definedName name="__lbc26" hidden="1">#REF!</definedName>
    <definedName name="__lbc27" localSheetId="0" hidden="1">#REF!</definedName>
    <definedName name="__lbc27" hidden="1">#REF!</definedName>
    <definedName name="__lbc28" localSheetId="0" hidden="1">#REF!</definedName>
    <definedName name="__lbc28" hidden="1">#REF!</definedName>
    <definedName name="__lbc29" localSheetId="0" hidden="1">#REF!</definedName>
    <definedName name="__lbc29" hidden="1">#REF!</definedName>
    <definedName name="__lbc3" localSheetId="0" hidden="1">#REF!</definedName>
    <definedName name="__lbc3" hidden="1">#REF!</definedName>
    <definedName name="__lbc31" localSheetId="0" hidden="1">#REF!</definedName>
    <definedName name="__lbc31" hidden="1">#REF!</definedName>
    <definedName name="__lbc32" localSheetId="0" hidden="1">#REF!</definedName>
    <definedName name="__lbc32" hidden="1">#REF!</definedName>
    <definedName name="__lbc4" localSheetId="0" hidden="1">#REF!</definedName>
    <definedName name="__lbc4" hidden="1">#REF!</definedName>
    <definedName name="__lbc5" localSheetId="0" hidden="1">#REF!</definedName>
    <definedName name="__lbc5" hidden="1">#REF!</definedName>
    <definedName name="__lbc6" localSheetId="0" hidden="1">#REF!</definedName>
    <definedName name="__lbc6" hidden="1">#REF!</definedName>
    <definedName name="__lbc7" localSheetId="0" hidden="1">#REF!</definedName>
    <definedName name="__lbc7" hidden="1">#REF!</definedName>
    <definedName name="__lbc8" localSheetId="0" hidden="1">#REF!</definedName>
    <definedName name="__lbc8" hidden="1">#REF!</definedName>
    <definedName name="__lbc9" localSheetId="0" hidden="1">#REF!</definedName>
    <definedName name="__lbc9" hidden="1">#REF!</definedName>
    <definedName name="__ld26" localSheetId="0" hidden="1">#REF!</definedName>
    <definedName name="__ld26" hidden="1">#REF!</definedName>
    <definedName name="__ld31" localSheetId="0" hidden="1">#REF!</definedName>
    <definedName name="__ld31" hidden="1">#REF!</definedName>
    <definedName name="__le31" localSheetId="0" hidden="1">#REF!</definedName>
    <definedName name="__le31" hidden="1">#REF!</definedName>
    <definedName name="__lf31" localSheetId="0" hidden="1">#REF!</definedName>
    <definedName name="__lf31" hidden="1">#REF!</definedName>
    <definedName name="__x10" localSheetId="0" hidden="1">#REF!</definedName>
    <definedName name="__x10" hidden="1">#REF!</definedName>
    <definedName name="__x11" localSheetId="0" hidden="1">#REF!</definedName>
    <definedName name="__x11" hidden="1">#REF!</definedName>
    <definedName name="__x12" localSheetId="0" hidden="1">#REF!</definedName>
    <definedName name="__x12" hidden="1">#REF!</definedName>
    <definedName name="__x13" localSheetId="0" hidden="1">#REF!</definedName>
    <definedName name="__x13" hidden="1">#REF!</definedName>
    <definedName name="__x14" localSheetId="0" hidden="1">#REF!</definedName>
    <definedName name="__x14" hidden="1">#REF!</definedName>
    <definedName name="__x15" localSheetId="0" hidden="1">#REF!</definedName>
    <definedName name="__x15" hidden="1">#REF!</definedName>
    <definedName name="__x16" localSheetId="0" hidden="1">#REF!</definedName>
    <definedName name="__x16" hidden="1">#REF!</definedName>
    <definedName name="__x17" localSheetId="0" hidden="1">#REF!</definedName>
    <definedName name="__x17" hidden="1">#REF!</definedName>
    <definedName name="__x18" localSheetId="0" hidden="1">#REF!</definedName>
    <definedName name="__x18" hidden="1">#REF!</definedName>
    <definedName name="__x19" localSheetId="0" hidden="1">#REF!</definedName>
    <definedName name="__x19" hidden="1">#REF!</definedName>
    <definedName name="__x20" localSheetId="0" hidden="1">#REF!</definedName>
    <definedName name="__x20" hidden="1">#REF!</definedName>
    <definedName name="__x21" localSheetId="0" hidden="1">#REF!</definedName>
    <definedName name="__x21" hidden="1">#REF!</definedName>
    <definedName name="__x22" localSheetId="0" hidden="1">#REF!</definedName>
    <definedName name="__x22" hidden="1">#REF!</definedName>
    <definedName name="__x23" localSheetId="0" hidden="1">#REF!</definedName>
    <definedName name="__x23" hidden="1">#REF!</definedName>
    <definedName name="__x24" localSheetId="0" hidden="1">#REF!</definedName>
    <definedName name="__x24" hidden="1">#REF!</definedName>
    <definedName name="__x25" localSheetId="0" hidden="1">#REF!</definedName>
    <definedName name="__x25" hidden="1">#REF!</definedName>
    <definedName name="__x28" localSheetId="0" hidden="1">#REF!</definedName>
    <definedName name="__x28" hidden="1">#REF!</definedName>
    <definedName name="__x29" localSheetId="0" hidden="1">#REF!</definedName>
    <definedName name="__x29" hidden="1">#REF!</definedName>
    <definedName name="__x32" localSheetId="0" hidden="1">#REF!</definedName>
    <definedName name="__x32" hidden="1">#REF!</definedName>
    <definedName name="__x4" localSheetId="0" hidden="1">#REF!</definedName>
    <definedName name="__x4" hidden="1">#REF!</definedName>
    <definedName name="__x5" localSheetId="0" hidden="1">#REF!</definedName>
    <definedName name="__x5" hidden="1">#REF!</definedName>
    <definedName name="__x6" localSheetId="0" hidden="1">#REF!</definedName>
    <definedName name="__x6" hidden="1">#REF!</definedName>
    <definedName name="__x7" localSheetId="0" hidden="1">#REF!</definedName>
    <definedName name="__x7" hidden="1">#REF!</definedName>
    <definedName name="__x8" localSheetId="0" hidden="1">#REF!</definedName>
    <definedName name="__x8" hidden="1">#REF!</definedName>
    <definedName name="__x9" localSheetId="0" hidden="1">#REF!</definedName>
    <definedName name="__x9" hidden="1">#REF!</definedName>
    <definedName name="__xlfn.BAHTTEXT" hidden="1">#NAME?</definedName>
    <definedName name="__YUTU" localSheetId="0" hidden="1">#REF!</definedName>
    <definedName name="__YUTU" hidden="1">#REF!</definedName>
    <definedName name="_1__123Graph_ACHART_1" localSheetId="0" hidden="1">#REF!</definedName>
    <definedName name="_1__123Graph_ACHART_1" hidden="1">#REF!</definedName>
    <definedName name="_10__123Graph_FCHART_1" localSheetId="0" hidden="1">#REF!</definedName>
    <definedName name="_10__123Graph_FCHART_1" hidden="1">#REF!</definedName>
    <definedName name="_11__123Graph_LBL_DCHART_3" localSheetId="0" hidden="1">#REF!</definedName>
    <definedName name="_11__123Graph_LBL_DCHART_3" hidden="1">#REF!</definedName>
    <definedName name="_12__123Graph_XCHART_1" localSheetId="0" hidden="1">#REF!</definedName>
    <definedName name="_12__123Graph_XCHART_1" hidden="1">#REF!</definedName>
    <definedName name="_123" localSheetId="0" hidden="1">#REF!</definedName>
    <definedName name="_123" hidden="1">#REF!</definedName>
    <definedName name="_123Gr" localSheetId="0" hidden="1">#REF!</definedName>
    <definedName name="_123Gr" hidden="1">#REF!</definedName>
    <definedName name="_2__123Graph_ACHART_1" localSheetId="0" hidden="1">#REF!</definedName>
    <definedName name="_2__123Graph_ACHART_1" hidden="1">#REF!</definedName>
    <definedName name="_2__123Graph_BCHART_1" localSheetId="0" hidden="1">#REF!</definedName>
    <definedName name="_2__123Graph_BCHART_1" hidden="1">#REF!</definedName>
    <definedName name="_3__123Graph_BCHART_3" localSheetId="0" hidden="1">#REF!</definedName>
    <definedName name="_3__123Graph_BCHART_3" hidden="1">#REF!</definedName>
    <definedName name="_3__123Graph_CCHART_1" localSheetId="0" hidden="1">#REF!</definedName>
    <definedName name="_3__123Graph_CCHART_1" hidden="1">#REF!</definedName>
    <definedName name="_4__123Graph_BCHART_1" localSheetId="0" hidden="1">#REF!</definedName>
    <definedName name="_4__123Graph_BCHART_1" hidden="1">#REF!</definedName>
    <definedName name="_4__123Graph_BCHART_4" localSheetId="0" hidden="1">#REF!</definedName>
    <definedName name="_4__123Graph_BCHART_4" hidden="1">#REF!</definedName>
    <definedName name="_4__123Graph_DCHART_1" localSheetId="0" hidden="1">#REF!</definedName>
    <definedName name="_4__123Graph_DCHART_1" hidden="1">#REF!</definedName>
    <definedName name="_5__123Graph_CCHART_1" localSheetId="0" hidden="1">#REF!</definedName>
    <definedName name="_5__123Graph_CCHART_1" hidden="1">#REF!</definedName>
    <definedName name="_5__123Graph_ECHART_1" localSheetId="0" hidden="1">#REF!</definedName>
    <definedName name="_5__123Graph_ECHART_1" hidden="1">#REF!</definedName>
    <definedName name="_5__123Graph_XCHART_1" localSheetId="0" hidden="1">#REF!</definedName>
    <definedName name="_5__123Graph_XCHART_1" hidden="1">#REF!</definedName>
    <definedName name="_6__123Graph_CCHART_3" localSheetId="0" hidden="1">#REF!</definedName>
    <definedName name="_6__123Graph_CCHART_3" hidden="1">#REF!</definedName>
    <definedName name="_6__123Graph_FCHART_1" localSheetId="0" hidden="1">#REF!</definedName>
    <definedName name="_6__123Graph_FCHART_1" hidden="1">#REF!</definedName>
    <definedName name="_7__123Graph_DCHART_1" localSheetId="0" hidden="1">#REF!</definedName>
    <definedName name="_7__123Graph_DCHART_1" hidden="1">#REF!</definedName>
    <definedName name="_7__123Graph_XCHART_1" localSheetId="0" hidden="1">#REF!</definedName>
    <definedName name="_7__123Graph_XCHART_1" hidden="1">#REF!</definedName>
    <definedName name="_8__123Graph_DCHART_3" localSheetId="0" hidden="1">#REF!</definedName>
    <definedName name="_8__123Graph_DCHART_3" hidden="1">#REF!</definedName>
    <definedName name="_9__123Graph_ECHART_1" localSheetId="0" hidden="1">#REF!</definedName>
    <definedName name="_9__123Graph_ECHART_1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Values" hidden="1">#REF!</definedName>
    <definedName name="_Fill" localSheetId="0" hidden="1">#REF!</definedName>
    <definedName name="_Fill" hidden="1">#REF!</definedName>
    <definedName name="_filll" localSheetId="0" hidden="1">#REF!</definedName>
    <definedName name="_filll" hidden="1">#REF!</definedName>
    <definedName name="_Key1" localSheetId="0" hidden="1">#REF!</definedName>
    <definedName name="_Key1" hidden="1">#REF!</definedName>
    <definedName name="_key1." localSheetId="0" hidden="1">#REF!</definedName>
    <definedName name="_key1.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la29" localSheetId="0" hidden="1">#REF!</definedName>
    <definedName name="_la29" hidden="1">#REF!</definedName>
    <definedName name="_la3" localSheetId="0" hidden="1">#REF!</definedName>
    <definedName name="_la3" hidden="1">#REF!</definedName>
    <definedName name="_la31" localSheetId="0" hidden="1">#REF!</definedName>
    <definedName name="_la31" hidden="1">#REF!</definedName>
    <definedName name="_la32" localSheetId="0" hidden="1">#REF!</definedName>
    <definedName name="_la32" hidden="1">#REF!</definedName>
    <definedName name="_la4" localSheetId="0" hidden="1">#REF!</definedName>
    <definedName name="_la4" hidden="1">#REF!</definedName>
    <definedName name="_la5" localSheetId="0" hidden="1">#REF!</definedName>
    <definedName name="_la5" hidden="1">#REF!</definedName>
    <definedName name="_la6" localSheetId="0" hidden="1">#REF!</definedName>
    <definedName name="_la6" hidden="1">#REF!</definedName>
    <definedName name="_la7" localSheetId="0" hidden="1">#REF!</definedName>
    <definedName name="_la7" hidden="1">#REF!</definedName>
    <definedName name="_la8" localSheetId="0" hidden="1">#REF!</definedName>
    <definedName name="_la8" hidden="1">#REF!</definedName>
    <definedName name="_la9" localSheetId="0" hidden="1">#REF!</definedName>
    <definedName name="_la9" hidden="1">#REF!</definedName>
    <definedName name="_lb1" localSheetId="0" hidden="1">#REF!</definedName>
    <definedName name="_lb1" hidden="1">#REF!</definedName>
    <definedName name="_lb10" localSheetId="0" hidden="1">#REF!</definedName>
    <definedName name="_lb10" hidden="1">#REF!</definedName>
    <definedName name="_lb11" localSheetId="0" hidden="1">#REF!</definedName>
    <definedName name="_lb11" hidden="1">#REF!</definedName>
    <definedName name="_lb12" localSheetId="0" hidden="1">#REF!</definedName>
    <definedName name="_lb12" hidden="1">#REF!</definedName>
    <definedName name="_lb13" localSheetId="0" hidden="1">#REF!</definedName>
    <definedName name="_lb13" hidden="1">#REF!</definedName>
    <definedName name="_lb14" localSheetId="0" hidden="1">#REF!</definedName>
    <definedName name="_lb14" hidden="1">#REF!</definedName>
    <definedName name="_lb15" localSheetId="0" hidden="1">#REF!</definedName>
    <definedName name="_lb15" hidden="1">#REF!</definedName>
    <definedName name="_lb16" localSheetId="0" hidden="1">#REF!</definedName>
    <definedName name="_lb16" hidden="1">#REF!</definedName>
    <definedName name="_lb17" localSheetId="0" hidden="1">#REF!</definedName>
    <definedName name="_lb17" hidden="1">#REF!</definedName>
    <definedName name="_lb18" localSheetId="0" hidden="1">#REF!</definedName>
    <definedName name="_lb18" hidden="1">#REF!</definedName>
    <definedName name="_lb19" localSheetId="0" hidden="1">#REF!</definedName>
    <definedName name="_lb19" hidden="1">#REF!</definedName>
    <definedName name="_lb2" localSheetId="0" hidden="1">#REF!</definedName>
    <definedName name="_lb2" hidden="1">#REF!</definedName>
    <definedName name="_lb20" localSheetId="0" hidden="1">#REF!</definedName>
    <definedName name="_lb20" hidden="1">#REF!</definedName>
    <definedName name="_lb21" localSheetId="0" hidden="1">#REF!</definedName>
    <definedName name="_lb21" hidden="1">#REF!</definedName>
    <definedName name="_lb22" localSheetId="0" hidden="1">#REF!</definedName>
    <definedName name="_lb22" hidden="1">#REF!</definedName>
    <definedName name="_lb23" localSheetId="0" hidden="1">#REF!</definedName>
    <definedName name="_lb23" hidden="1">#REF!</definedName>
    <definedName name="_lb24" localSheetId="0" hidden="1">#REF!</definedName>
    <definedName name="_lb24" hidden="1">#REF!</definedName>
    <definedName name="_lb25" localSheetId="0" hidden="1">#REF!</definedName>
    <definedName name="_lb25" hidden="1">#REF!</definedName>
    <definedName name="_lb27" localSheetId="0" hidden="1">#REF!</definedName>
    <definedName name="_lb27" hidden="1">#REF!</definedName>
    <definedName name="_lb28" localSheetId="0" hidden="1">#REF!</definedName>
    <definedName name="_lb28" hidden="1">#REF!</definedName>
    <definedName name="_lb29" localSheetId="0" hidden="1">#REF!</definedName>
    <definedName name="_lb29" hidden="1">#REF!</definedName>
    <definedName name="_lb3" localSheetId="0" hidden="1">#REF!</definedName>
    <definedName name="_lb3" hidden="1">#REF!</definedName>
    <definedName name="_lb30" localSheetId="0" hidden="1">#REF!</definedName>
    <definedName name="_lb30" hidden="1">#REF!</definedName>
    <definedName name="_lb31" localSheetId="0" hidden="1">#REF!</definedName>
    <definedName name="_lb31" hidden="1">#REF!</definedName>
    <definedName name="_lb32" localSheetId="0" hidden="1">#REF!</definedName>
    <definedName name="_lb32" hidden="1">#REF!</definedName>
    <definedName name="_lb4" localSheetId="0" hidden="1">#REF!</definedName>
    <definedName name="_lb4" hidden="1">#REF!</definedName>
    <definedName name="_lb5" localSheetId="0" hidden="1">#REF!</definedName>
    <definedName name="_lb5" hidden="1">#REF!</definedName>
    <definedName name="_lb6" localSheetId="0" hidden="1">#REF!</definedName>
    <definedName name="_lb6" hidden="1">#REF!</definedName>
    <definedName name="_lb7" localSheetId="0" hidden="1">#REF!</definedName>
    <definedName name="_lb7" hidden="1">#REF!</definedName>
    <definedName name="_lb8" localSheetId="0" hidden="1">#REF!</definedName>
    <definedName name="_lb8" hidden="1">#REF!</definedName>
    <definedName name="_lb9" localSheetId="0" hidden="1">#REF!</definedName>
    <definedName name="_lb9" hidden="1">#REF!</definedName>
    <definedName name="_lbc1" localSheetId="0" hidden="1">#REF!</definedName>
    <definedName name="_lbc1" hidden="1">#REF!</definedName>
    <definedName name="_lbc10" localSheetId="0" hidden="1">#REF!</definedName>
    <definedName name="_lbc10" hidden="1">#REF!</definedName>
    <definedName name="_lbc11" localSheetId="0" hidden="1">#REF!</definedName>
    <definedName name="_lbc11" hidden="1">#REF!</definedName>
    <definedName name="_lbc12" localSheetId="0" hidden="1">#REF!</definedName>
    <definedName name="_lbc12" hidden="1">#REF!</definedName>
    <definedName name="_lbc13" localSheetId="0" hidden="1">#REF!</definedName>
    <definedName name="_lbc13" hidden="1">#REF!</definedName>
    <definedName name="_lbc14" localSheetId="0" hidden="1">#REF!</definedName>
    <definedName name="_lbc14" hidden="1">#REF!</definedName>
    <definedName name="_lbc15" localSheetId="0" hidden="1">#REF!</definedName>
    <definedName name="_lbc15" hidden="1">#REF!</definedName>
    <definedName name="_lbc16" localSheetId="0" hidden="1">#REF!</definedName>
    <definedName name="_lbc16" hidden="1">#REF!</definedName>
    <definedName name="_lbc17" localSheetId="0" hidden="1">#REF!</definedName>
    <definedName name="_lbc17" hidden="1">#REF!</definedName>
    <definedName name="_lbc18" localSheetId="0" hidden="1">#REF!</definedName>
    <definedName name="_lbc18" hidden="1">#REF!</definedName>
    <definedName name="_lbc19" localSheetId="0" hidden="1">#REF!</definedName>
    <definedName name="_lbc19" hidden="1">#REF!</definedName>
    <definedName name="_lbc2" localSheetId="0" hidden="1">#REF!</definedName>
    <definedName name="_lbc2" hidden="1">#REF!</definedName>
    <definedName name="_lbc20" localSheetId="0" hidden="1">#REF!</definedName>
    <definedName name="_lbc20" hidden="1">#REF!</definedName>
    <definedName name="_lbc21" localSheetId="0" hidden="1">#REF!</definedName>
    <definedName name="_lbc21" hidden="1">#REF!</definedName>
    <definedName name="_lbc22" localSheetId="0" hidden="1">#REF!</definedName>
    <definedName name="_lbc22" hidden="1">#REF!</definedName>
    <definedName name="_lbc23" localSheetId="0" hidden="1">#REF!</definedName>
    <definedName name="_lbc23" hidden="1">#REF!</definedName>
    <definedName name="_lbc24" localSheetId="0" hidden="1">#REF!</definedName>
    <definedName name="_lbc24" hidden="1">#REF!</definedName>
    <definedName name="_lbc25" localSheetId="0" hidden="1">#REF!</definedName>
    <definedName name="_lbc25" hidden="1">#REF!</definedName>
    <definedName name="_lbc26" localSheetId="0" hidden="1">#REF!</definedName>
    <definedName name="_lbc26" hidden="1">#REF!</definedName>
    <definedName name="_lbc27" localSheetId="0" hidden="1">#REF!</definedName>
    <definedName name="_lbc27" hidden="1">#REF!</definedName>
    <definedName name="_lbc28" localSheetId="0" hidden="1">#REF!</definedName>
    <definedName name="_lbc28" hidden="1">#REF!</definedName>
    <definedName name="_lbc29" localSheetId="0" hidden="1">#REF!</definedName>
    <definedName name="_lbc29" hidden="1">#REF!</definedName>
    <definedName name="_lbc3" localSheetId="0" hidden="1">#REF!</definedName>
    <definedName name="_lbc3" hidden="1">#REF!</definedName>
    <definedName name="_lbc31" localSheetId="0" hidden="1">#REF!</definedName>
    <definedName name="_lbc31" hidden="1">#REF!</definedName>
    <definedName name="_lbc32" localSheetId="0" hidden="1">#REF!</definedName>
    <definedName name="_lbc32" hidden="1">#REF!</definedName>
    <definedName name="_lbc4" localSheetId="0" hidden="1">#REF!</definedName>
    <definedName name="_lbc4" hidden="1">#REF!</definedName>
    <definedName name="_lbc5" localSheetId="0" hidden="1">#REF!</definedName>
    <definedName name="_lbc5" hidden="1">#REF!</definedName>
    <definedName name="_lbc6" localSheetId="0" hidden="1">#REF!</definedName>
    <definedName name="_lbc6" hidden="1">#REF!</definedName>
    <definedName name="_lbc7" localSheetId="0" hidden="1">#REF!</definedName>
    <definedName name="_lbc7" hidden="1">#REF!</definedName>
    <definedName name="_lbc8" localSheetId="0" hidden="1">#REF!</definedName>
    <definedName name="_lbc8" hidden="1">#REF!</definedName>
    <definedName name="_lbc9" localSheetId="0" hidden="1">#REF!</definedName>
    <definedName name="_lbc9" hidden="1">#REF!</definedName>
    <definedName name="_ld26" localSheetId="0" hidden="1">#REF!</definedName>
    <definedName name="_ld26" hidden="1">#REF!</definedName>
    <definedName name="_ld31" localSheetId="0" hidden="1">#REF!</definedName>
    <definedName name="_ld31" hidden="1">#REF!</definedName>
    <definedName name="_le31" localSheetId="0" hidden="1">#REF!</definedName>
    <definedName name="_le31" hidden="1">#REF!</definedName>
    <definedName name="_lf31" localSheetId="0" hidden="1">#REF!</definedName>
    <definedName name="_lf31" hidden="1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atMult_A" localSheetId="0" hidden="1">#REF!</definedName>
    <definedName name="_MatMult_A" hidden="1">#REF!</definedName>
    <definedName name="_MatMult_B" localSheetId="0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X" localSheetId="0" hidden="1">#REF!</definedName>
    <definedName name="_Regression_X" hidden="1">#REF!</definedName>
    <definedName name="_rwn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wn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localSheetId="0" hidden="1">#REF!</definedName>
    <definedName name="_x11" hidden="1">#REF!</definedName>
    <definedName name="_x12" localSheetId="0" hidden="1">#REF!</definedName>
    <definedName name="_x12" hidden="1">#REF!</definedName>
    <definedName name="_x13" localSheetId="0" hidden="1">#REF!</definedName>
    <definedName name="_x13" hidden="1">#REF!</definedName>
    <definedName name="_x14" localSheetId="0" hidden="1">#REF!</definedName>
    <definedName name="_x14" hidden="1">#REF!</definedName>
    <definedName name="_x15" localSheetId="0" hidden="1">#REF!</definedName>
    <definedName name="_x15" hidden="1">#REF!</definedName>
    <definedName name="_x16" localSheetId="0" hidden="1">#REF!</definedName>
    <definedName name="_x16" hidden="1">#REF!</definedName>
    <definedName name="_x17" localSheetId="0" hidden="1">#REF!</definedName>
    <definedName name="_x17" hidden="1">#REF!</definedName>
    <definedName name="_x18" localSheetId="0" hidden="1">#REF!</definedName>
    <definedName name="_x18" hidden="1">#REF!</definedName>
    <definedName name="_x19" localSheetId="0" hidden="1">#REF!</definedName>
    <definedName name="_x19" hidden="1">#REF!</definedName>
    <definedName name="_x20" localSheetId="0" hidden="1">#REF!</definedName>
    <definedName name="_x20" hidden="1">#REF!</definedName>
    <definedName name="_x21" localSheetId="0" hidden="1">#REF!</definedName>
    <definedName name="_x21" hidden="1">#REF!</definedName>
    <definedName name="_x22" localSheetId="0" hidden="1">#REF!</definedName>
    <definedName name="_x22" hidden="1">#REF!</definedName>
    <definedName name="_x23" localSheetId="0" hidden="1">#REF!</definedName>
    <definedName name="_x23" hidden="1">#REF!</definedName>
    <definedName name="_x24" localSheetId="0" hidden="1">#REF!</definedName>
    <definedName name="_x24" hidden="1">#REF!</definedName>
    <definedName name="_x25" localSheetId="0" hidden="1">#REF!</definedName>
    <definedName name="_x25" hidden="1">#REF!</definedName>
    <definedName name="_x28" localSheetId="0" hidden="1">#REF!</definedName>
    <definedName name="_x28" hidden="1">#REF!</definedName>
    <definedName name="_x29" localSheetId="0" hidden="1">#REF!</definedName>
    <definedName name="_x29" hidden="1">#REF!</definedName>
    <definedName name="_x32" localSheetId="0" hidden="1">#REF!</definedName>
    <definedName name="_x32" hidden="1">#REF!</definedName>
    <definedName name="_x4" localSheetId="0" hidden="1">#REF!</definedName>
    <definedName name="_x4" hidden="1">#REF!</definedName>
    <definedName name="_x5" localSheetId="0" hidden="1">#REF!</definedName>
    <definedName name="_x5" hidden="1">#REF!</definedName>
    <definedName name="_x6" localSheetId="0" hidden="1">#REF!</definedName>
    <definedName name="_x6" hidden="1">#REF!</definedName>
    <definedName name="_x7" localSheetId="0" hidden="1">#REF!</definedName>
    <definedName name="_x7" hidden="1">#REF!</definedName>
    <definedName name="_x8" localSheetId="0" hidden="1">#REF!</definedName>
    <definedName name="_x8" hidden="1">#REF!</definedName>
    <definedName name="_x9" localSheetId="0" hidden="1">#REF!</definedName>
    <definedName name="_x9" hidden="1">#REF!</definedName>
    <definedName name="a33333333" localSheetId="0" hidden="1">#REF!</definedName>
    <definedName name="a33333333" hidden="1">#REF!</definedName>
    <definedName name="aaa" localSheetId="0" hidden="1">#REF!</definedName>
    <definedName name="AAA" hidden="1">#REF!</definedName>
    <definedName name="aaaaa" localSheetId="0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aacccc" hidden="1">{#N/A,#N/A,FALSE,"Plan1";#N/A,#N/A,FALSE,"Plan2"}</definedName>
    <definedName name="acesso">#REF!</definedName>
    <definedName name="achar18" localSheetId="0" hidden="1">#REF!</definedName>
    <definedName name="achar18" hidden="1">#REF!</definedName>
    <definedName name="achar19" localSheetId="0" hidden="1">#REF!</definedName>
    <definedName name="achar19" hidden="1">#REF!</definedName>
    <definedName name="achart1" localSheetId="0" hidden="1">#REF!</definedName>
    <definedName name="achart1" hidden="1">#REF!</definedName>
    <definedName name="achart10" localSheetId="0" hidden="1">#REF!</definedName>
    <definedName name="achart10" hidden="1">#REF!</definedName>
    <definedName name="achart11" localSheetId="0" hidden="1">#REF!</definedName>
    <definedName name="achart11" hidden="1">#REF!</definedName>
    <definedName name="achart12" localSheetId="0" hidden="1">#REF!</definedName>
    <definedName name="achart12" hidden="1">#REF!</definedName>
    <definedName name="achart13" localSheetId="0" hidden="1">#REF!</definedName>
    <definedName name="achart13" hidden="1">#REF!</definedName>
    <definedName name="achart14" localSheetId="0" hidden="1">#REF!</definedName>
    <definedName name="achart14" hidden="1">#REF!</definedName>
    <definedName name="achart15" localSheetId="0" hidden="1">#REF!</definedName>
    <definedName name="achart15" hidden="1">#REF!</definedName>
    <definedName name="achart16" localSheetId="0" hidden="1">#REF!</definedName>
    <definedName name="achart16" hidden="1">#REF!</definedName>
    <definedName name="achart17" localSheetId="0" hidden="1">#REF!</definedName>
    <definedName name="achart17" hidden="1">#REF!</definedName>
    <definedName name="achart2" localSheetId="0" hidden="1">#REF!</definedName>
    <definedName name="achart2" hidden="1">#REF!</definedName>
    <definedName name="achart20" localSheetId="0" hidden="1">#REF!</definedName>
    <definedName name="achart20" hidden="1">#REF!</definedName>
    <definedName name="achart21" localSheetId="0" hidden="1">#REF!</definedName>
    <definedName name="achart21" hidden="1">#REF!</definedName>
    <definedName name="achart22" localSheetId="0" hidden="1">#REF!</definedName>
    <definedName name="achart22" hidden="1">#REF!</definedName>
    <definedName name="achart23" localSheetId="0" hidden="1">#REF!</definedName>
    <definedName name="achart23" hidden="1">#REF!</definedName>
    <definedName name="achart24" localSheetId="0" hidden="1">#REF!</definedName>
    <definedName name="achart24" hidden="1">#REF!</definedName>
    <definedName name="achart25" localSheetId="0" hidden="1">#REF!</definedName>
    <definedName name="achart25" hidden="1">#REF!</definedName>
    <definedName name="achart26" localSheetId="0" hidden="1">#REF!</definedName>
    <definedName name="achart26" hidden="1">#REF!</definedName>
    <definedName name="achart27" localSheetId="0" hidden="1">#REF!</definedName>
    <definedName name="achart27" hidden="1">#REF!</definedName>
    <definedName name="achart28" localSheetId="0" hidden="1">#REF!</definedName>
    <definedName name="achart28" hidden="1">#REF!</definedName>
    <definedName name="achart29" localSheetId="0" hidden="1">#REF!</definedName>
    <definedName name="achart29" hidden="1">#REF!</definedName>
    <definedName name="achart3" localSheetId="0" hidden="1">#REF!</definedName>
    <definedName name="achart3" hidden="1">#REF!</definedName>
    <definedName name="achart30" localSheetId="0" hidden="1">#REF!</definedName>
    <definedName name="achart30" hidden="1">#REF!</definedName>
    <definedName name="achart31" localSheetId="0" hidden="1">#REF!</definedName>
    <definedName name="achart31" hidden="1">#REF!</definedName>
    <definedName name="achart32" localSheetId="0" hidden="1">#REF!</definedName>
    <definedName name="achart32" hidden="1">#REF!</definedName>
    <definedName name="achart4" localSheetId="0" hidden="1">#REF!</definedName>
    <definedName name="achart4" hidden="1">#REF!</definedName>
    <definedName name="achart5" localSheetId="0" hidden="1">#REF!</definedName>
    <definedName name="achart5" hidden="1">#REF!</definedName>
    <definedName name="achart6" localSheetId="0" hidden="1">#REF!</definedName>
    <definedName name="achart6" hidden="1">#REF!</definedName>
    <definedName name="achart7" localSheetId="0" hidden="1">#REF!</definedName>
    <definedName name="achart7" hidden="1">#REF!</definedName>
    <definedName name="achart8" localSheetId="0" hidden="1">#REF!</definedName>
    <definedName name="achart8" hidden="1">#REF!</definedName>
    <definedName name="achart9" localSheetId="0" hidden="1">#REF!</definedName>
    <definedName name="achart9" hidden="1">#REF!</definedName>
    <definedName name="ACwvu.PLANILHA2." localSheetId="0" hidden="1">#REF!</definedName>
    <definedName name="ACwvu.PLANILHA2." hidden="1">#REF!</definedName>
    <definedName name="ad" localSheetId="0" hidden="1">#REF!</definedName>
    <definedName name="ad" hidden="1">#REF!</definedName>
    <definedName name="ADAS" localSheetId="0" hidden="1">#REF!</definedName>
    <definedName name="ADAS" hidden="1">#REF!</definedName>
    <definedName name="Adm" localSheetId="0" hidden="1">#REF!</definedName>
    <definedName name="Adm" hidden="1">#REF!</definedName>
    <definedName name="adsf" localSheetId="0" hidden="1">#REF!</definedName>
    <definedName name="adsf" hidden="1">#REF!</definedName>
    <definedName name="aeww" localSheetId="0" hidden="1">#REF!</definedName>
    <definedName name="aeww" hidden="1">#REF!</definedName>
    <definedName name="aff" localSheetId="0" hidden="1">#REF!</definedName>
    <definedName name="aff" hidden="1">#REF!</definedName>
    <definedName name="AGRUP.BOB" localSheetId="0">#REF!</definedName>
    <definedName name="AGRUP.BOB">#REF!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mort_pr">#REF!</definedName>
    <definedName name="anc_aa">#REF!</definedName>
    <definedName name="anc_ab">#REF!</definedName>
    <definedName name="anc_ac">#REF!</definedName>
    <definedName name="anc_ad">#REF!</definedName>
    <definedName name="anscount" hidden="1">1</definedName>
    <definedName name="area" localSheetId="0" hidden="1">{#N/A,#N/A,FALSE,"Plan1";#N/A,#N/A,FALSE,"Plan2"}</definedName>
    <definedName name="area" hidden="1">{#N/A,#N/A,FALSE,"Plan1";#N/A,#N/A,FALSE,"Plan2"}</definedName>
    <definedName name="arm_a">#REF!</definedName>
    <definedName name="arm_b">#REF!</definedName>
    <definedName name="arm_c">#REF!</definedName>
    <definedName name="arm_d">#REF!</definedName>
    <definedName name="arm_mc">#REF!</definedName>
    <definedName name="AS" localSheetId="0" hidden="1">#REF!</definedName>
    <definedName name="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as" localSheetId="0" hidden="1">#REF!</definedName>
    <definedName name="asasaas" hidden="1">#REF!</definedName>
    <definedName name="ASW" localSheetId="0" hidden="1">#REF!</definedName>
    <definedName name="ASW" hidden="1">#REF!</definedName>
    <definedName name="atorre">#REF!</definedName>
    <definedName name="ATVRESUMO" localSheetId="0">#REF!</definedName>
    <definedName name="ATVRESUMO">#REF!</definedName>
    <definedName name="auhau" localSheetId="0" hidden="1">#REF!</definedName>
    <definedName name="auhau" hidden="1">#REF!</definedName>
    <definedName name="AUTO">"AUrT"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char10" hidden="1">#REF!</definedName>
    <definedName name="bchart1" localSheetId="0" hidden="1">#REF!</definedName>
    <definedName name="bchart1" hidden="1">#REF!</definedName>
    <definedName name="bchart11" localSheetId="0" hidden="1">#REF!</definedName>
    <definedName name="bchart11" hidden="1">#REF!</definedName>
    <definedName name="bchart12" localSheetId="0" hidden="1">#REF!</definedName>
    <definedName name="bchart12" hidden="1">#REF!</definedName>
    <definedName name="bchart13" localSheetId="0" hidden="1">#REF!</definedName>
    <definedName name="bchart13" hidden="1">#REF!</definedName>
    <definedName name="bchart14" localSheetId="0" hidden="1">#REF!</definedName>
    <definedName name="bchart14" hidden="1">#REF!</definedName>
    <definedName name="bchart15" localSheetId="0" hidden="1">#REF!</definedName>
    <definedName name="bchart15" hidden="1">#REF!</definedName>
    <definedName name="bchart16" localSheetId="0" hidden="1">#REF!</definedName>
    <definedName name="bchart16" hidden="1">#REF!</definedName>
    <definedName name="bchart17" localSheetId="0" hidden="1">#REF!</definedName>
    <definedName name="bchart17" hidden="1">#REF!</definedName>
    <definedName name="bchart18" localSheetId="0" hidden="1">#REF!</definedName>
    <definedName name="bchart18" hidden="1">#REF!</definedName>
    <definedName name="bchart19" localSheetId="0" hidden="1">#REF!</definedName>
    <definedName name="bchart19" hidden="1">#REF!</definedName>
    <definedName name="bchart2" localSheetId="0" hidden="1">#REF!</definedName>
    <definedName name="bchart2" hidden="1">#REF!</definedName>
    <definedName name="bchart20" localSheetId="0" hidden="1">#REF!</definedName>
    <definedName name="bchart20" hidden="1">#REF!</definedName>
    <definedName name="bchart21" localSheetId="0" hidden="1">#REF!</definedName>
    <definedName name="bchart21" hidden="1">#REF!</definedName>
    <definedName name="bchart22" localSheetId="0" hidden="1">#REF!</definedName>
    <definedName name="bchart22" hidden="1">#REF!</definedName>
    <definedName name="bchart23" localSheetId="0" hidden="1">#REF!</definedName>
    <definedName name="bchart23" hidden="1">#REF!</definedName>
    <definedName name="bchart24" localSheetId="0" hidden="1">#REF!</definedName>
    <definedName name="bchart24" hidden="1">#REF!</definedName>
    <definedName name="bchart25" localSheetId="0" hidden="1">#REF!</definedName>
    <definedName name="bchart25" hidden="1">#REF!</definedName>
    <definedName name="bchart26" localSheetId="0" hidden="1">#REF!</definedName>
    <definedName name="bchart26" hidden="1">#REF!</definedName>
    <definedName name="bchart27" localSheetId="0" hidden="1">#REF!</definedName>
    <definedName name="bchart27" hidden="1">#REF!</definedName>
    <definedName name="bchart28" localSheetId="0" hidden="1">#REF!</definedName>
    <definedName name="bchart28" hidden="1">#REF!</definedName>
    <definedName name="bchart29" localSheetId="0" hidden="1">#REF!</definedName>
    <definedName name="bchart29" hidden="1">#REF!</definedName>
    <definedName name="bchart3" localSheetId="0" hidden="1">#REF!</definedName>
    <definedName name="bchart3" hidden="1">#REF!</definedName>
    <definedName name="bchart30" localSheetId="0" hidden="1">#REF!</definedName>
    <definedName name="bchart30" hidden="1">#REF!</definedName>
    <definedName name="bchart31" localSheetId="0" hidden="1">#REF!</definedName>
    <definedName name="bchart31" hidden="1">#REF!</definedName>
    <definedName name="bchart32" localSheetId="0" hidden="1">#REF!</definedName>
    <definedName name="bchart32" hidden="1">#REF!</definedName>
    <definedName name="bchart4" localSheetId="0" hidden="1">#REF!</definedName>
    <definedName name="bchart4" hidden="1">#REF!</definedName>
    <definedName name="bchart5" localSheetId="0" hidden="1">#REF!</definedName>
    <definedName name="bchart5" hidden="1">#REF!</definedName>
    <definedName name="bchart6" localSheetId="0" hidden="1">#REF!</definedName>
    <definedName name="bchart6" hidden="1">#REF!</definedName>
    <definedName name="bchart7" localSheetId="0" hidden="1">#REF!</definedName>
    <definedName name="bchart7" hidden="1">#REF!</definedName>
    <definedName name="bchart8" localSheetId="0" hidden="1">#REF!</definedName>
    <definedName name="bchart8" hidden="1">#REF!</definedName>
    <definedName name="bchart9" localSheetId="0" hidden="1">#REF!</definedName>
    <definedName name="bchart9" hidden="1">#REF!</definedName>
    <definedName name="BD" localSheetId="0">#REF!</definedName>
    <definedName name="BD">#REF!</definedName>
    <definedName name="BD.ATIVIDADES" localSheetId="0">#REF!</definedName>
    <definedName name="BD.ATIVIDADES">#REF!</definedName>
    <definedName name="BD.DATAS" localSheetId="0">#REF!</definedName>
    <definedName name="BD.DATAS">#REF!</definedName>
    <definedName name="BD.TORRES" localSheetId="0">#REF!</definedName>
    <definedName name="BD.TORRES">#REF!</definedName>
    <definedName name="BDACPTO" localSheetId="0">#REF!</definedName>
    <definedName name="BDACPTO">#REF!</definedName>
    <definedName name="BOBINAS">#REF!</definedName>
    <definedName name="BuiltIn_AutoFilter___1">"$"</definedName>
    <definedName name="BuiltIn_AutoFilter___4">"$"</definedName>
    <definedName name="BuiltIn_AutoFilter___4_1">"$"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LA" hidden="1">#REF!</definedName>
    <definedName name="cavalete">#REF!</definedName>
    <definedName name="ççç" localSheetId="0" hidden="1">{#N/A,#N/A,FALSE,"Plan1";#N/A,#N/A,FALSE,"Plan2"}</definedName>
    <definedName name="ççç" hidden="1">{#N/A,#N/A,FALSE,"Plan1";#N/A,#N/A,FALSE,"Plan2"}</definedName>
    <definedName name="cccc" localSheetId="0" hidden="1">{#N/A,#N/A,FALSE,"Plan1";#N/A,#N/A,FALSE,"Plan2"}</definedName>
    <definedName name="cccc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localSheetId="0" hidden="1">#REF!</definedName>
    <definedName name="cchart10" hidden="1">#REF!</definedName>
    <definedName name="cchart11" localSheetId="0" hidden="1">#REF!</definedName>
    <definedName name="cchart11" hidden="1">#REF!</definedName>
    <definedName name="cchart12" localSheetId="0" hidden="1">#REF!</definedName>
    <definedName name="cchart12" hidden="1">#REF!</definedName>
    <definedName name="cchart13" localSheetId="0" hidden="1">#REF!</definedName>
    <definedName name="cchart13" hidden="1">#REF!</definedName>
    <definedName name="cchart14" localSheetId="0" hidden="1">#REF!</definedName>
    <definedName name="cchart14" hidden="1">#REF!</definedName>
    <definedName name="cchart15" localSheetId="0" hidden="1">#REF!</definedName>
    <definedName name="cchart15" hidden="1">#REF!</definedName>
    <definedName name="cchart16" localSheetId="0" hidden="1">#REF!</definedName>
    <definedName name="cchart16" hidden="1">#REF!</definedName>
    <definedName name="cchart17" localSheetId="0" hidden="1">#REF!</definedName>
    <definedName name="cchart17" hidden="1">#REF!</definedName>
    <definedName name="cchart18" localSheetId="0" hidden="1">#REF!</definedName>
    <definedName name="cchart18" hidden="1">#REF!</definedName>
    <definedName name="cchart19" localSheetId="0" hidden="1">#REF!</definedName>
    <definedName name="cchart19" hidden="1">#REF!</definedName>
    <definedName name="cchart2" localSheetId="0" hidden="1">#REF!</definedName>
    <definedName name="cchart2" hidden="1">#REF!</definedName>
    <definedName name="cchart20" localSheetId="0" hidden="1">#REF!</definedName>
    <definedName name="cchart20" hidden="1">#REF!</definedName>
    <definedName name="cchart21" localSheetId="0" hidden="1">#REF!</definedName>
    <definedName name="cchart21" hidden="1">#REF!</definedName>
    <definedName name="cchart22" localSheetId="0" hidden="1">#REF!</definedName>
    <definedName name="cchart22" hidden="1">#REF!</definedName>
    <definedName name="cchart23" localSheetId="0" hidden="1">#REF!</definedName>
    <definedName name="cchart23" hidden="1">#REF!</definedName>
    <definedName name="cchart24" localSheetId="0" hidden="1">#REF!</definedName>
    <definedName name="cchart24" hidden="1">#REF!</definedName>
    <definedName name="cchart25" localSheetId="0" hidden="1">#REF!</definedName>
    <definedName name="cchart25" hidden="1">#REF!</definedName>
    <definedName name="cchart26" localSheetId="0" hidden="1">#REF!</definedName>
    <definedName name="cchart26" hidden="1">#REF!</definedName>
    <definedName name="cchart27" localSheetId="0" hidden="1">#REF!</definedName>
    <definedName name="cchart27" hidden="1">#REF!</definedName>
    <definedName name="cchart28" localSheetId="0" hidden="1">#REF!</definedName>
    <definedName name="cchart28" hidden="1">#REF!</definedName>
    <definedName name="cchart29" localSheetId="0" hidden="1">#REF!</definedName>
    <definedName name="cchart29" hidden="1">#REF!</definedName>
    <definedName name="cchart3" localSheetId="0" hidden="1">#REF!</definedName>
    <definedName name="cchart3" hidden="1">#REF!</definedName>
    <definedName name="cchart31" localSheetId="0" hidden="1">#REF!</definedName>
    <definedName name="cchart31" hidden="1">#REF!</definedName>
    <definedName name="cchart32" localSheetId="0" hidden="1">#REF!</definedName>
    <definedName name="cchart32" hidden="1">#REF!</definedName>
    <definedName name="cchart4" localSheetId="0" hidden="1">#REF!</definedName>
    <definedName name="cchart4" hidden="1">#REF!</definedName>
    <definedName name="cchart5" localSheetId="0" hidden="1">#REF!</definedName>
    <definedName name="cchart5" hidden="1">#REF!</definedName>
    <definedName name="cchart6" localSheetId="0" hidden="1">#REF!</definedName>
    <definedName name="cchart6" hidden="1">#REF!</definedName>
    <definedName name="cchart7" localSheetId="0" hidden="1">#REF!</definedName>
    <definedName name="cchart7" hidden="1">#REF!</definedName>
    <definedName name="cchart8" localSheetId="0" hidden="1">#REF!</definedName>
    <definedName name="cchart8" hidden="1">#REF!</definedName>
    <definedName name="cchart9" localSheetId="0" hidden="1">#REF!</definedName>
    <definedName name="cchart9" hidden="1">#REF!</definedName>
    <definedName name="CFADA" localSheetId="0" hidden="1">#REF!</definedName>
    <definedName name="CFADA" hidden="1">#REF!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ENOME1" hidden="1">#N/A</definedName>
    <definedName name="comissio">#REF!</definedName>
    <definedName name="confperfil">#REF!</definedName>
    <definedName name="cr" localSheetId="0" hidden="1">#REF!</definedName>
    <definedName name="cr" hidden="1">#REF!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hidden="1">#REF!</definedName>
    <definedName name="DADA" localSheetId="0" hidden="1">#REF!</definedName>
    <definedName name="dada" hidden="1">#REF!</definedName>
    <definedName name="DADOS.LAN" localSheetId="0">#REF!</definedName>
    <definedName name="DADOS.LAN">#REF!</definedName>
    <definedName name="dafda" localSheetId="0" hidden="1">#REF!</definedName>
    <definedName name="dafda" hidden="1">#REF!</definedName>
    <definedName name="dchart26" localSheetId="0" hidden="1">#REF!</definedName>
    <definedName name="dchart26" hidden="1">#REF!</definedName>
    <definedName name="dchart31" localSheetId="0" hidden="1">#REF!</definedName>
    <definedName name="dchart31" hidden="1">#REF!</definedName>
    <definedName name="DD" localSheetId="0" hidden="1">{"DECIMAL",#N/A,FALSE,"02"}</definedName>
    <definedName name="DD" hidden="1">{"DECIMAL",#N/A,FALSE,"02"}</definedName>
    <definedName name="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" localSheetId="0" hidden="1">{#N/A,#N/A,FALSE,"Plan1";#N/A,#N/A,FALSE,"Plan2"}</definedName>
    <definedName name="ddddd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s" localSheetId="0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hidden="1">{#N/A,#N/A,FALSE,"Plan1";#N/A,#N/A,FALSE,"Plan2"}</definedName>
    <definedName name="DFG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dg" hidden="1">#REF!</definedName>
    <definedName name="DFGFDF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FDF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huu" hidden="1">#REF!</definedName>
    <definedName name="DFGSDFG" localSheetId="0" hidden="1">#REF!</definedName>
    <definedName name="DFGSDFG" hidden="1">#REF!</definedName>
    <definedName name="dfr" localSheetId="0" hidden="1">#REF!</definedName>
    <definedName name="dfr" hidden="1">#REF!</definedName>
    <definedName name="DFSDFASDFDA" localSheetId="0" hidden="1">#REF!</definedName>
    <definedName name="DFSDFASDFDA" hidden="1">#REF!</definedName>
    <definedName name="dggfdg" localSheetId="0" hidden="1">{#N/A,#N/A,FALSE,"Plan1";#N/A,#N/A,FALSE,"Plan2"}</definedName>
    <definedName name="dggfdg" hidden="1">{#N/A,#N/A,FALSE,"Plan1";#N/A,#N/A,FALSE,"Plan2"}</definedName>
    <definedName name="di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i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M">#REF!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0" hidden="1">#REF!</definedName>
    <definedName name="e" hidden="1">#REF!</definedName>
    <definedName name="echart31" localSheetId="0" hidden="1">#REF!</definedName>
    <definedName name="echart31" hidden="1">#REF!</definedName>
    <definedName name="eewe" localSheetId="0" hidden="1">#REF!</definedName>
    <definedName name="eewe" hidden="1">#REF!</definedName>
    <definedName name="ENCARREGADO" localSheetId="0">OFFSET(#REF!,0,0,COUNTA(#REF!),1)</definedName>
    <definedName name="ENCARREGADO">OFFSET(#REF!,0,0,COUNTA(#REF!),1)</definedName>
    <definedName name="Encarregado_Dash" localSheetId="0">OFFSET(#REF!,0,0,COUNTA(#REF!)-COUNTBLANK(#REF!),1)</definedName>
    <definedName name="Encarregado_Dash">OFFSET(#REF!,0,0,COUNTA(#REF!)-COUNTBLANK(#REF!),1)</definedName>
    <definedName name="escav_a">#REF!</definedName>
    <definedName name="escav_aa">#REF!</definedName>
    <definedName name="escav_ab">#REF!</definedName>
    <definedName name="escav_ac">#REF!</definedName>
    <definedName name="escav_ad">#REF!</definedName>
    <definedName name="escav_b">#REF!</definedName>
    <definedName name="escav_c">#REF!</definedName>
    <definedName name="escav_d">#REF!</definedName>
    <definedName name="escav_mc">#REF!</definedName>
    <definedName name="esdr" localSheetId="0" hidden="1">{#N/A,#N/A,FALSE,"ROTINA";#N/A,#N/A,FALSE,"ITENS";#N/A,#N/A,FALSE,"ACOMP"}</definedName>
    <definedName name="esdr" hidden="1">{#N/A,#N/A,FALSE,"ROTINA";#N/A,#N/A,FALSE,"ITENS";#N/A,#N/A,FALSE,"ACOMP"}</definedName>
    <definedName name="espaçcond">#REF!</definedName>
    <definedName name="etytryer" localSheetId="0" hidden="1">#REF!</definedName>
    <definedName name="etytryer" hidden="1">#REF!</definedName>
    <definedName name="faixa">#REF!</definedName>
    <definedName name="fargag" localSheetId="0" hidden="1">#REF!</definedName>
    <definedName name="fargag" hidden="1">#REF!</definedName>
    <definedName name="fchart31" localSheetId="0" hidden="1">#REF!</definedName>
    <definedName name="fchart31" hidden="1">#REF!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af" hidden="1">{#N/A,#N/A,FALSE,"Plan1";#N/A,#N/A,FALSE,"Plan2"}</definedName>
    <definedName name="fdhgfdf" localSheetId="0" hidden="1">{#N/A,#N/A,FALSE,"Plan1";#N/A,#N/A,FALSE,"Plan2"}</definedName>
    <definedName name="fdhgfdf" hidden="1">{#N/A,#N/A,FALSE,"Plan1";#N/A,#N/A,FALSE,"Plan2"}</definedName>
    <definedName name="ferf" hidden="1">#REF!</definedName>
    <definedName name="FES" localSheetId="0" hidden="1">#REF!</definedName>
    <definedName name="FES" hidden="1">#REF!</definedName>
    <definedName name="ff" localSheetId="0" hidden="1">#REF!</definedName>
    <definedName name="ff" hidden="1">#REF!</definedName>
    <definedName name="FFASDF" localSheetId="0" hidden="1">#REF!</definedName>
    <definedName name="FFASDF" hidden="1">#REF!</definedName>
    <definedName name="fffff" localSheetId="0" hidden="1">{#N/A,#N/A,FALSE,"Plan1";#N/A,#N/A,FALSE,"Plan2"}</definedName>
    <definedName name="fffff" hidden="1">{#N/A,#N/A,FALSE,"Plan1";#N/A,#N/A,FALSE,"Plan2"}</definedName>
    <definedName name="ffgafdsf" hidden="1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HFDGH" hidden="1">#REF!</definedName>
    <definedName name="fghfgh" localSheetId="0" hidden="1">#REF!</definedName>
    <definedName name="fghfgh" hidden="1">#REF!</definedName>
    <definedName name="FGJHFGK" localSheetId="0" hidden="1">{#N/A,#N/A,FALSE,"Plan1";#N/A,#N/A,FALSE,"Plan2"}</definedName>
    <definedName name="FGJHFGK" hidden="1">{#N/A,#N/A,FALSE,"Plan1";#N/A,#N/A,FALSE,"Plan2"}</definedName>
    <definedName name="fhjkhjk" hidden="1">#REF!</definedName>
    <definedName name="Fim" localSheetId="0">#REF!</definedName>
    <definedName name="Fim">#REF!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hidden="1">{#N/A,#N/A,FALSE,"Plan1";#N/A,#N/A,FALSE,"Plan2"}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nPosseColor" localSheetId="0">#REF!</definedName>
    <definedName name="funPosseColor">#REF!</definedName>
    <definedName name="fwef" localSheetId="0" hidden="1">#REF!</definedName>
    <definedName name="fwef" hidden="1">#REF!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ardo" localSheetId="0" hidden="1">{"DECIMAL",#N/A,FALSE,"02"}</definedName>
    <definedName name="Gerardo" hidden="1">{"DECIMAL",#N/A,FALSE,"02"}</definedName>
    <definedName name="GG" localSheetId="0" hidden="1">{"NORMAL",#N/A,FALSE,"02"}</definedName>
    <definedName name="GG" hidden="1">{"NORMAL",#N/A,FALSE,"02"}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j" hidden="1">#REF!</definedName>
    <definedName name="GHJH" localSheetId="0" hidden="1">#REF!</definedName>
    <definedName name="GHJH" hidden="1">#REF!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mp_op">#REF!</definedName>
    <definedName name="gramp_pr">#REF!</definedName>
    <definedName name="grampcond">#REF!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H" localSheetId="0" hidden="1">{"DECIMAL",#N/A,FALSE,"02"}</definedName>
    <definedName name="HH" hidden="1">{"DECIMAL",#N/A,FALSE,"02"}</definedName>
    <definedName name="hhh" localSheetId="0" hidden="1">{"DECIMAL",#N/A,FALSE,"02"}</definedName>
    <definedName name="hhh" hidden="1">{"DECIMAL",#N/A,FALSE,"02"}</definedName>
    <definedName name="içamento">#REF!</definedName>
    <definedName name="II" localSheetId="0" hidden="1">{#N/A,#N/A,TRUE,"Cert.Global";#N/A,#N/A,TRUE,"Cert. M&amp;C";#N/A,#N/A,TRUE,"Cert. Engineering";#N/A,#N/A,TRUE,"Cert. Procurement ";#N/A,#N/A,TRUE,"Cert. Constr. Manag."}</definedName>
    <definedName name="II" hidden="1">{#N/A,#N/A,TRUE,"Cert.Global";#N/A,#N/A,TRUE,"Cert. M&amp;C";#N/A,#N/A,TRUE,"Cert. Engineering";#N/A,#N/A,TRUE,"Cert. Procurement ";#N/A,#N/A,TRUE,"Cert. Constr. Manag."}</definedName>
    <definedName name="Impressão">#REF!</definedName>
    <definedName name="Inicio" localSheetId="0">#REF!</definedName>
    <definedName name="Inicio">#REF!</definedName>
    <definedName name="instcad">#REF!</definedName>
    <definedName name="IYUIO" localSheetId="0" hidden="1">#REF!</definedName>
    <definedName name="IYUIO" hidden="1">#REF!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d" hidden="1">#REF!</definedName>
    <definedName name="JJ" localSheetId="0" hidden="1">{#N/A,#N/A,FALSE,"Monthly report";#N/A,#N/A,FALSE,"M.R. UEM";#N/A,#N/A,FALSE,"M.R. VCM"}</definedName>
    <definedName name="JJ" hidden="1">{#N/A,#N/A,FALSE,"Monthly report";#N/A,#N/A,FALSE,"M.R. UEM";#N/A,#N/A,FALSE,"M.R. VCM"}</definedName>
    <definedName name="jjj" localSheetId="0" hidden="1">#REF!</definedName>
    <definedName name="jjj" hidden="1">#REF!</definedName>
    <definedName name="jkhglkjge" localSheetId="0" hidden="1">#REF!</definedName>
    <definedName name="jkhglkjge" hidden="1">#REF!</definedName>
    <definedName name="KK" localSheetId="0" hidden="1">{"NORMAL",#N/A,FALSE,"02"}</definedName>
    <definedName name="KK" hidden="1">{"NORMAL",#N/A,FALSE,"02"}</definedName>
    <definedName name="KLKKLKÇJÇ" localSheetId="0" hidden="1">{#N/A,#N/A,FALSE,"Plan1";#N/A,#N/A,FALSE,"Plan2"}</definedName>
    <definedName name="KLKKLKÇJÇ" hidden="1">{#N/A,#N/A,FALSE,"Plan1";#N/A,#N/A,FALSE,"Plan2"}</definedName>
    <definedName name="Km">1000</definedName>
    <definedName name="lanc_op">#REF!</definedName>
    <definedName name="lanc_pr">#REF!</definedName>
    <definedName name="lanccond_a">#REF!</definedName>
    <definedName name="lanccond_b">#REF!</definedName>
    <definedName name="lanccond_c">#REF!</definedName>
    <definedName name="lbla1" localSheetId="0" hidden="1">#REF!</definedName>
    <definedName name="lbla1" hidden="1">#REF!</definedName>
    <definedName name="lbla10" localSheetId="0" hidden="1">#REF!</definedName>
    <definedName name="lbla10" hidden="1">#REF!</definedName>
    <definedName name="lbla11" localSheetId="0" hidden="1">#REF!</definedName>
    <definedName name="lbla11" hidden="1">#REF!</definedName>
    <definedName name="lbla12" localSheetId="0" hidden="1">#REF!</definedName>
    <definedName name="lbla12" hidden="1">#REF!</definedName>
    <definedName name="lbla13" localSheetId="0" hidden="1">#REF!</definedName>
    <definedName name="lbla13" hidden="1">#REF!</definedName>
    <definedName name="lbla14" localSheetId="0" hidden="1">#REF!</definedName>
    <definedName name="lbla14" hidden="1">#REF!</definedName>
    <definedName name="lbla15" localSheetId="0" hidden="1">#REF!</definedName>
    <definedName name="lbla15" hidden="1">#REF!</definedName>
    <definedName name="lbla16" localSheetId="0" hidden="1">#REF!</definedName>
    <definedName name="lbla16" hidden="1">#REF!</definedName>
    <definedName name="lbla17" localSheetId="0" hidden="1">#REF!</definedName>
    <definedName name="lbla17" hidden="1">#REF!</definedName>
    <definedName name="lbla18" localSheetId="0" hidden="1">#REF!</definedName>
    <definedName name="lbla18" hidden="1">#REF!</definedName>
    <definedName name="lbla19" localSheetId="0" hidden="1">#REF!</definedName>
    <definedName name="lbla19" hidden="1">#REF!</definedName>
    <definedName name="lbla2" localSheetId="0" hidden="1">#REF!</definedName>
    <definedName name="lbla2" hidden="1">#REF!</definedName>
    <definedName name="lbla20" localSheetId="0" hidden="1">#REF!</definedName>
    <definedName name="lbla20" hidden="1">#REF!</definedName>
    <definedName name="lbla21" localSheetId="0" hidden="1">#REF!</definedName>
    <definedName name="lbla21" hidden="1">#REF!</definedName>
    <definedName name="lbla22" localSheetId="0" hidden="1">#REF!</definedName>
    <definedName name="lbla22" hidden="1">#REF!</definedName>
    <definedName name="lbla23" localSheetId="0" hidden="1">#REF!</definedName>
    <definedName name="lbla23" hidden="1">#REF!</definedName>
    <definedName name="lbla24" localSheetId="0" hidden="1">#REF!</definedName>
    <definedName name="lbla24" hidden="1">#REF!</definedName>
    <definedName name="lbla25" localSheetId="0" hidden="1">#REF!</definedName>
    <definedName name="lbla25" hidden="1">#REF!</definedName>
    <definedName name="lbla27" localSheetId="0" hidden="1">#REF!</definedName>
    <definedName name="lbla27" hidden="1">#REF!</definedName>
    <definedName name="lbla28" localSheetId="0" hidden="1">#REF!</definedName>
    <definedName name="lbla28" hidden="1">#REF!</definedName>
    <definedName name="LinExecutado">#REF!</definedName>
    <definedName name="LinPendente">#REF!</definedName>
    <definedName name="Lista" localSheetId="0">OFFSET(#REF!,0,0,COUNTIF(#REF!,"?*"),1)</definedName>
    <definedName name="LIS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12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1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avas">#REF!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ES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mm" localSheetId="0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nt_a">#REF!</definedName>
    <definedName name="montesolo">#REF!</definedName>
    <definedName name="niv_op">#REF!</definedName>
    <definedName name="niv_pr">#REF!</definedName>
    <definedName name="nivcond">#REF!</definedName>
    <definedName name="NOVO" localSheetId="0" hidden="1">#REF!</definedName>
    <definedName name="NOVO" hidden="1">#REF!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BSPDS" hidden="1">#REF!</definedName>
    <definedName name="Outros" localSheetId="0" hidden="1">#REF!</definedName>
    <definedName name="Outros" hidden="1">#REF!</definedName>
    <definedName name="Pal_Workbook_GUID" hidden="1">"RSC4XW2LXCDEHH8KQ1GBWS2I"</definedName>
    <definedName name="pas" hidden="1">#REF!</definedName>
    <definedName name="pasta2" localSheetId="0" hidden="1">#REF!</definedName>
    <definedName name="pasta2" hidden="1">#REF!</definedName>
    <definedName name="Payment_Needed">"Pagamento necessário"</definedName>
    <definedName name="PENDENCIAS000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SSOAL">"$"</definedName>
    <definedName name="pilotcond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D" localSheetId="0" hidden="1">#REF!</definedName>
    <definedName name="PPD" hidden="1">#REF!</definedName>
    <definedName name="premont">#REF!</definedName>
    <definedName name="prep_aa">#REF!</definedName>
    <definedName name="Previsto_Dash" localSheetId="0">OFFSET(#REF!,0,0,COUNTA(#REF!)-COUNTBLANK(#REF!),1)</definedName>
    <definedName name="Previsto_Dash">OFFSET(#REF!,0,0,COUNTA(#REF!)-COUNTBLANK(#REF!),1)</definedName>
    <definedName name="qqq" localSheetId="0" hidden="1">#REF!</definedName>
    <definedName name="qqq" hidden="1">#REF!</definedName>
    <definedName name="qwe" localSheetId="0" hidden="1">#REF!</definedName>
    <definedName name="qwe" hidden="1">#REF!</definedName>
    <definedName name="qwer" localSheetId="0" hidden="1">#REF!</definedName>
    <definedName name="qwer" hidden="1">#REF!</definedName>
    <definedName name="RB">#REF!</definedName>
    <definedName name="Realizado_Dash" localSheetId="0">OFFSET(#REF!,0,0,COUNTA(#REF!)-COUNTBLANK(#REF!),1)</definedName>
    <definedName name="Realizado_Dash">OFFSET(#REF!,0,0,COUNTA(#REF!)-COUNTBLANK(#REF!),1)</definedName>
    <definedName name="Reimbursement">"Reembolso"</definedName>
    <definedName name="retense">#REF!</definedName>
    <definedName name="rev_a">#REF!</definedName>
    <definedName name="revaerea">#REF!</definedName>
    <definedName name="revsol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gdg" hidden="1">#REF!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PBEXdnldView" hidden="1">"46WC49HXZ7F4OQUCHLL2PX6VI"</definedName>
    <definedName name="SAPBEXrevision" hidden="1">1</definedName>
    <definedName name="SAPBEXrevision2" hidden="1">3</definedName>
    <definedName name="SAPBEXsysID" hidden="1">"WPP"</definedName>
    <definedName name="SAPBEXwbID" hidden="1">"3XDWMPTE16SMU5W4562LG5P1Q"</definedName>
    <definedName name="SAPBEXwbiD2" hidden="1">"3XWIPZAZFKTZCCO1WBR3RWCUM"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DA" localSheetId="0" hidden="1">#REF!</definedName>
    <definedName name="SDDA" hidden="1">#REF!</definedName>
    <definedName name="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MANAS">#REF!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t" hidden="1">#REF!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wvu.PLANILHA2." hidden="1">#REF!</definedName>
    <definedName name="t" localSheetId="0" hidden="1">#REF!</definedName>
    <definedName name="t" hidden="1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c_a">#REF!</definedName>
    <definedName name="tanc_b">#REF!</definedName>
    <definedName name="tanc_c">#REF!</definedName>
    <definedName name="tanc_d">#REF!</definedName>
    <definedName name="TATI" localSheetId="0" hidden="1">#REF!</definedName>
    <definedName name="TATI" hidden="1">#REF!</definedName>
    <definedName name="Tday1" localSheetId="0">#REF!</definedName>
    <definedName name="Tday1">#REF!</definedName>
    <definedName name="Tday2" localSheetId="0">#REF!</definedName>
    <definedName name="Tday2">#REF!</definedName>
    <definedName name="Tday3" localSheetId="0">#REF!</definedName>
    <definedName name="Tday3">#REF!</definedName>
    <definedName name="Tday4" localSheetId="0">#REF!</definedName>
    <definedName name="Tday4">#REF!</definedName>
    <definedName name="Tday5" localSheetId="0">#REF!</definedName>
    <definedName name="Tday5">#REF!</definedName>
    <definedName name="Tday6" localSheetId="0">#REF!</definedName>
    <definedName name="Tday6">#REF!</definedName>
    <definedName name="Tday7" localSheetId="0">#REF!</definedName>
    <definedName name="Tday7">#REF!</definedName>
    <definedName name="test" localSheetId="0" hidden="1">{#N/A,#N/A,FALSE,"ROTINA";#N/A,#N/A,FALSE,"ITENS";#N/A,#N/A,FALSE,"ACOMP"}</definedName>
    <definedName name="test" hidden="1">{#N/A,#N/A,FALSE,"ROTINA";#N/A,#N/A,FALSE,"ITENS";#N/A,#N/A,FALSE,"ACOMP"}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Fundacao">#REF!</definedName>
    <definedName name="Torres100" localSheetId="0">#REF!</definedName>
    <definedName name="Torres100">#REF!</definedName>
    <definedName name="transpbob">#REF!</definedName>
    <definedName name="Trechos" localSheetId="0">#REF!</definedName>
    <definedName name="Trechos">#REF!</definedName>
    <definedName name="TRT" localSheetId="0">#REF!</definedName>
    <definedName name="TRT">#REF!</definedName>
    <definedName name="ttipo">#REF!</definedName>
    <definedName name="TYRYFUYH" localSheetId="0" hidden="1">#REF!</definedName>
    <definedName name="TYRYFUYH" hidden="1">#REF!</definedName>
    <definedName name="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ão">#REF!</definedName>
    <definedName name="veferw" localSheetId="0" hidden="1">#REF!</definedName>
    <definedName name="veferw" hidden="1">#REF!</definedName>
    <definedName name="vvbb" localSheetId="0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hidden="1">{#N/A,#N/A,FALSE,"Plan1";#N/A,#N/A,FALSE,"Plan2"}</definedName>
    <definedName name="vvvvv" localSheetId="0" hidden="1">{#N/A,#N/A,FALSE,"Plan1";#N/A,#N/A,FALSE,"Plan2"}</definedName>
    <definedName name="vvvvv" hidden="1">{#N/A,#N/A,FALSE,"Plan1";#N/A,#N/A,FALSE,"Plan2"}</definedName>
    <definedName name="vvvvvv" localSheetId="0" hidden="1">{#N/A,#N/A,FALSE,"Plan1";#N/A,#N/A,FALSE,"Plan2"}</definedName>
    <definedName name="vvvvvv" hidden="1">{#N/A,#N/A,FALSE,"Plan1";#N/A,#N/A,FALSE,"Plan2"}</definedName>
    <definedName name="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DGERAL" localSheetId="0" hidden="1">{#N/A,#N/A,FALSE,"ET-CAPA";#N/A,#N/A,FALSE,"ET-PAG1";#N/A,#N/A,FALSE,"ET-PAG2";#N/A,#N/A,FALSE,"ET-PAG3";#N/A,#N/A,FALSE,"ET-PAG4";#N/A,#N/A,FALSE,"ET-PAG5"}</definedName>
    <definedName name="WDGERAL" hidden="1">{#N/A,#N/A,FALSE,"ET-CAPA";#N/A,#N/A,FALSE,"ET-PAG1";#N/A,#N/A,FALSE,"ET-PAG2";#N/A,#N/A,FALSE,"ET-PAG3";#N/A,#N/A,FALSE,"ET-PAG4";#N/A,#N/A,FALSE,"ET-PAG5"}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02INFORME." localSheetId="0" hidden="1">{"NORMAL",#N/A,FALSE,"02"}</definedName>
    <definedName name="wrn.02INFORME." hidden="1">{"NORMAL",#N/A,FALSE,"02"}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DECIMAL." localSheetId="0" hidden="1">{"DECIMAL",#N/A,FALSE,"02"}</definedName>
    <definedName name="wrn.DECIMAL." hidden="1">{"DECIMAL",#N/A,FALSE,"02"}</definedName>
    <definedName name="wrn.dEMITIDO." localSheetId="0" hidden="1">{#N/A,#N/A,FALSE,"Relação Demitidos"}</definedName>
    <definedName name="wrn.dEMITIDO." hidden="1">{#N/A,#N/A,FALSE,"Relação Demitidos"}</definedName>
    <definedName name="wrn.DIRETRIZ." localSheetId="0" hidden="1">{#N/A,#N/A,FALSE,"ROTINA";#N/A,#N/A,FALSE,"ITENS";#N/A,#N/A,FALSE,"ACOMP"}</definedName>
    <definedName name="wrn.DIRETRIZ." hidden="1">{#N/A,#N/A,FALSE,"ROTINA";#N/A,#N/A,FALSE,"ITENS";#N/A,#N/A,FALSE,"ACOMP"}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IMPRESSO." localSheetId="0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port._.Mensual." localSheetId="0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rnPENDENCIAS0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#REF!</definedName>
    <definedName name="XXX" localSheetId="0" hidden="1">{"NORMAL",#N/A,FALSE,"02"}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yyzz" localSheetId="0" hidden="1">#REF!</definedName>
    <definedName name="xxxyyzz" hidden="1">#REF!</definedName>
    <definedName name="z" localSheetId="0" hidden="1">#REF!</definedName>
    <definedName name="z" hidden="1">#REF!</definedName>
    <definedName name="Z_BDB4B167_E3AA_11D7_8D7A_00B0D08F20DC_.wvu.PrintArea" localSheetId="0" hidden="1">#REF!</definedName>
    <definedName name="Z_BDB4B167_E3AA_11D7_8D7A_00B0D08F20DC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4" i="1" l="1"/>
  <c r="E254" i="1"/>
  <c r="D254" i="1" s="1"/>
  <c r="F253" i="1"/>
  <c r="E253" i="1"/>
  <c r="D253" i="1" s="1"/>
  <c r="F252" i="1"/>
  <c r="E252" i="1"/>
  <c r="D252" i="1" s="1"/>
  <c r="F251" i="1"/>
  <c r="E251" i="1"/>
  <c r="D251" i="1" s="1"/>
  <c r="F250" i="1"/>
  <c r="E250" i="1"/>
  <c r="D250" i="1" s="1"/>
  <c r="F249" i="1"/>
  <c r="D249" i="1" s="1"/>
  <c r="E249" i="1"/>
  <c r="F248" i="1"/>
  <c r="E248" i="1"/>
  <c r="D248" i="1"/>
  <c r="F247" i="1"/>
  <c r="E247" i="1"/>
  <c r="D247" i="1"/>
  <c r="F246" i="1"/>
  <c r="E246" i="1"/>
  <c r="D246" i="1" s="1"/>
  <c r="F245" i="1"/>
  <c r="E245" i="1"/>
  <c r="D245" i="1" s="1"/>
  <c r="F244" i="1"/>
  <c r="E244" i="1"/>
  <c r="D244" i="1" s="1"/>
  <c r="F243" i="1"/>
  <c r="E243" i="1"/>
  <c r="D243" i="1" s="1"/>
  <c r="F242" i="1"/>
  <c r="E242" i="1"/>
  <c r="D242" i="1" s="1"/>
  <c r="F241" i="1"/>
  <c r="D241" i="1" s="1"/>
  <c r="E241" i="1"/>
  <c r="F240" i="1"/>
  <c r="E240" i="1"/>
  <c r="D240" i="1"/>
  <c r="F239" i="1"/>
  <c r="E239" i="1"/>
  <c r="D239" i="1"/>
  <c r="F238" i="1"/>
  <c r="E238" i="1"/>
  <c r="D238" i="1" s="1"/>
  <c r="F237" i="1"/>
  <c r="E237" i="1"/>
  <c r="D237" i="1" s="1"/>
  <c r="F236" i="1"/>
  <c r="E236" i="1"/>
  <c r="D236" i="1" s="1"/>
  <c r="F235" i="1"/>
  <c r="E235" i="1"/>
  <c r="D235" i="1" s="1"/>
  <c r="F234" i="1"/>
  <c r="E234" i="1"/>
  <c r="D234" i="1" s="1"/>
  <c r="F233" i="1"/>
  <c r="D233" i="1" s="1"/>
  <c r="E233" i="1"/>
  <c r="F232" i="1"/>
  <c r="E232" i="1"/>
  <c r="D232" i="1"/>
  <c r="F231" i="1"/>
  <c r="E231" i="1"/>
  <c r="D231" i="1"/>
  <c r="F230" i="1"/>
  <c r="E230" i="1"/>
  <c r="D230" i="1" s="1"/>
  <c r="F229" i="1"/>
  <c r="E229" i="1"/>
  <c r="D229" i="1" s="1"/>
  <c r="F228" i="1"/>
  <c r="E228" i="1"/>
  <c r="D228" i="1" s="1"/>
  <c r="F227" i="1"/>
  <c r="E227" i="1"/>
  <c r="D227" i="1" s="1"/>
  <c r="F226" i="1"/>
  <c r="E226" i="1"/>
  <c r="D226" i="1" s="1"/>
  <c r="F225" i="1"/>
  <c r="D225" i="1" s="1"/>
  <c r="E225" i="1"/>
  <c r="F224" i="1"/>
  <c r="E224" i="1"/>
  <c r="D224" i="1"/>
  <c r="F223" i="1"/>
  <c r="E223" i="1"/>
  <c r="D223" i="1"/>
  <c r="F222" i="1"/>
  <c r="E222" i="1"/>
  <c r="D222" i="1" s="1"/>
  <c r="F221" i="1"/>
  <c r="E221" i="1"/>
  <c r="D221" i="1" s="1"/>
  <c r="F220" i="1"/>
  <c r="E220" i="1"/>
  <c r="D220" i="1" s="1"/>
  <c r="F219" i="1"/>
  <c r="E219" i="1"/>
  <c r="D219" i="1" s="1"/>
  <c r="F218" i="1"/>
  <c r="E218" i="1"/>
  <c r="D218" i="1" s="1"/>
  <c r="F217" i="1"/>
  <c r="D217" i="1" s="1"/>
  <c r="E217" i="1"/>
  <c r="F216" i="1"/>
  <c r="E216" i="1"/>
  <c r="D216" i="1"/>
  <c r="F215" i="1"/>
  <c r="E215" i="1"/>
  <c r="D215" i="1"/>
  <c r="F214" i="1"/>
  <c r="E214" i="1"/>
  <c r="D214" i="1" s="1"/>
  <c r="F213" i="1"/>
  <c r="E213" i="1"/>
  <c r="D213" i="1" s="1"/>
  <c r="F212" i="1"/>
  <c r="E212" i="1"/>
  <c r="D212" i="1" s="1"/>
  <c r="F211" i="1"/>
  <c r="E211" i="1"/>
  <c r="D211" i="1" s="1"/>
  <c r="F210" i="1"/>
  <c r="E210" i="1"/>
  <c r="D210" i="1" s="1"/>
  <c r="F209" i="1"/>
  <c r="D209" i="1" s="1"/>
  <c r="E209" i="1"/>
  <c r="F208" i="1"/>
  <c r="E208" i="1"/>
  <c r="D208" i="1"/>
  <c r="F207" i="1"/>
  <c r="E207" i="1"/>
  <c r="D207" i="1"/>
  <c r="F206" i="1"/>
  <c r="E206" i="1"/>
  <c r="D206" i="1" s="1"/>
  <c r="F205" i="1"/>
  <c r="E205" i="1"/>
  <c r="D205" i="1" s="1"/>
  <c r="F204" i="1"/>
  <c r="E204" i="1"/>
  <c r="D204" i="1" s="1"/>
  <c r="F203" i="1"/>
  <c r="E203" i="1"/>
  <c r="D203" i="1" s="1"/>
  <c r="F202" i="1"/>
  <c r="E202" i="1"/>
  <c r="D202" i="1" s="1"/>
  <c r="F201" i="1"/>
  <c r="D201" i="1" s="1"/>
  <c r="E201" i="1"/>
  <c r="F200" i="1"/>
  <c r="E200" i="1"/>
  <c r="D200" i="1"/>
  <c r="F199" i="1"/>
  <c r="E199" i="1"/>
  <c r="D199" i="1"/>
  <c r="F198" i="1"/>
  <c r="E198" i="1"/>
  <c r="D198" i="1" s="1"/>
  <c r="F197" i="1"/>
  <c r="E197" i="1"/>
  <c r="D197" i="1" s="1"/>
  <c r="F196" i="1"/>
  <c r="E196" i="1"/>
  <c r="D196" i="1" s="1"/>
  <c r="F195" i="1"/>
  <c r="E195" i="1"/>
  <c r="D195" i="1" s="1"/>
  <c r="F194" i="1"/>
  <c r="E194" i="1"/>
  <c r="D194" i="1" s="1"/>
  <c r="F193" i="1"/>
  <c r="D193" i="1" s="1"/>
  <c r="E193" i="1"/>
  <c r="F192" i="1"/>
  <c r="E192" i="1"/>
  <c r="D192" i="1"/>
  <c r="F191" i="1"/>
  <c r="E191" i="1"/>
  <c r="D191" i="1"/>
  <c r="F190" i="1"/>
  <c r="E190" i="1"/>
  <c r="D190" i="1" s="1"/>
  <c r="F189" i="1"/>
  <c r="E189" i="1"/>
  <c r="D189" i="1" s="1"/>
  <c r="F188" i="1"/>
  <c r="E188" i="1"/>
  <c r="D188" i="1" s="1"/>
  <c r="F187" i="1"/>
  <c r="E187" i="1"/>
  <c r="D187" i="1" s="1"/>
  <c r="F186" i="1"/>
  <c r="E186" i="1"/>
  <c r="D186" i="1" s="1"/>
  <c r="F185" i="1"/>
  <c r="D185" i="1" s="1"/>
  <c r="E185" i="1"/>
  <c r="F184" i="1"/>
  <c r="E184" i="1"/>
  <c r="D184" i="1"/>
  <c r="F183" i="1"/>
  <c r="E183" i="1"/>
  <c r="D183" i="1"/>
  <c r="F182" i="1"/>
  <c r="E182" i="1"/>
  <c r="D182" i="1" s="1"/>
  <c r="F181" i="1"/>
  <c r="E181" i="1"/>
  <c r="D181" i="1" s="1"/>
  <c r="F180" i="1"/>
  <c r="E180" i="1"/>
  <c r="D180" i="1" s="1"/>
  <c r="F179" i="1"/>
  <c r="E179" i="1"/>
  <c r="D179" i="1" s="1"/>
  <c r="F178" i="1"/>
  <c r="E178" i="1"/>
  <c r="D178" i="1" s="1"/>
  <c r="F177" i="1"/>
  <c r="D177" i="1" s="1"/>
  <c r="E177" i="1"/>
  <c r="F176" i="1"/>
  <c r="E176" i="1"/>
  <c r="D176" i="1"/>
  <c r="F175" i="1"/>
  <c r="E175" i="1"/>
  <c r="D175" i="1"/>
  <c r="F174" i="1"/>
  <c r="E174" i="1"/>
  <c r="D174" i="1" s="1"/>
  <c r="F173" i="1"/>
  <c r="E173" i="1"/>
  <c r="D173" i="1" s="1"/>
  <c r="F172" i="1"/>
  <c r="E172" i="1"/>
  <c r="D172" i="1" s="1"/>
  <c r="F171" i="1"/>
  <c r="E171" i="1"/>
  <c r="D171" i="1" s="1"/>
  <c r="F170" i="1"/>
  <c r="E170" i="1"/>
  <c r="D170" i="1" s="1"/>
  <c r="F169" i="1"/>
  <c r="D169" i="1" s="1"/>
  <c r="E169" i="1"/>
  <c r="F168" i="1"/>
  <c r="E168" i="1"/>
  <c r="D168" i="1"/>
  <c r="F167" i="1"/>
  <c r="E167" i="1"/>
  <c r="D167" i="1"/>
  <c r="F166" i="1"/>
  <c r="E166" i="1"/>
  <c r="D166" i="1" s="1"/>
  <c r="F165" i="1"/>
  <c r="E165" i="1"/>
  <c r="D165" i="1" s="1"/>
  <c r="F164" i="1"/>
  <c r="E164" i="1"/>
  <c r="D164" i="1" s="1"/>
  <c r="F163" i="1"/>
  <c r="E163" i="1"/>
  <c r="D163" i="1" s="1"/>
  <c r="F162" i="1"/>
  <c r="E162" i="1"/>
  <c r="D162" i="1" s="1"/>
  <c r="F161" i="1"/>
  <c r="D161" i="1" s="1"/>
  <c r="E161" i="1"/>
  <c r="F160" i="1"/>
  <c r="E160" i="1"/>
  <c r="D160" i="1"/>
  <c r="F159" i="1"/>
  <c r="E159" i="1"/>
  <c r="D159" i="1"/>
  <c r="F158" i="1"/>
  <c r="E158" i="1"/>
  <c r="D158" i="1" s="1"/>
  <c r="F157" i="1"/>
  <c r="E157" i="1"/>
  <c r="D157" i="1" s="1"/>
  <c r="F156" i="1"/>
  <c r="E156" i="1"/>
  <c r="D156" i="1" s="1"/>
  <c r="F155" i="1"/>
  <c r="E155" i="1"/>
  <c r="D155" i="1" s="1"/>
  <c r="F154" i="1"/>
  <c r="E154" i="1"/>
  <c r="D154" i="1" s="1"/>
  <c r="F153" i="1"/>
  <c r="D153" i="1" s="1"/>
  <c r="E153" i="1"/>
  <c r="F152" i="1"/>
  <c r="E152" i="1"/>
  <c r="D152" i="1"/>
  <c r="F151" i="1"/>
  <c r="E151" i="1"/>
  <c r="D151" i="1"/>
  <c r="F150" i="1"/>
  <c r="E150" i="1"/>
  <c r="D150" i="1" s="1"/>
  <c r="F149" i="1"/>
  <c r="E149" i="1"/>
  <c r="D149" i="1" s="1"/>
  <c r="F148" i="1"/>
  <c r="E148" i="1"/>
  <c r="D148" i="1" s="1"/>
  <c r="F147" i="1"/>
  <c r="E147" i="1"/>
  <c r="D147" i="1" s="1"/>
  <c r="F146" i="1"/>
  <c r="E146" i="1"/>
  <c r="D146" i="1" s="1"/>
  <c r="F145" i="1"/>
  <c r="D145" i="1" s="1"/>
  <c r="E145" i="1"/>
  <c r="F144" i="1"/>
  <c r="E144" i="1"/>
  <c r="D144" i="1"/>
  <c r="F143" i="1"/>
  <c r="E143" i="1"/>
  <c r="D143" i="1"/>
  <c r="F142" i="1"/>
  <c r="E142" i="1"/>
  <c r="D142" i="1" s="1"/>
  <c r="F141" i="1"/>
  <c r="E141" i="1"/>
  <c r="D141" i="1" s="1"/>
  <c r="F140" i="1"/>
  <c r="E140" i="1"/>
  <c r="D140" i="1" s="1"/>
  <c r="F139" i="1"/>
  <c r="E139" i="1"/>
  <c r="D139" i="1" s="1"/>
  <c r="F138" i="1"/>
  <c r="E138" i="1"/>
  <c r="D138" i="1" s="1"/>
  <c r="F137" i="1"/>
  <c r="D137" i="1" s="1"/>
  <c r="E137" i="1"/>
  <c r="F136" i="1"/>
  <c r="E136" i="1"/>
  <c r="D136" i="1"/>
  <c r="F135" i="1"/>
  <c r="E135" i="1"/>
  <c r="D135" i="1"/>
  <c r="F134" i="1"/>
  <c r="E134" i="1"/>
  <c r="D134" i="1" s="1"/>
  <c r="F133" i="1"/>
  <c r="E133" i="1"/>
  <c r="D133" i="1" s="1"/>
  <c r="F132" i="1"/>
  <c r="E132" i="1"/>
  <c r="D132" i="1" s="1"/>
  <c r="F131" i="1"/>
  <c r="E131" i="1"/>
  <c r="D131" i="1" s="1"/>
  <c r="F130" i="1"/>
  <c r="E130" i="1"/>
  <c r="D130" i="1" s="1"/>
  <c r="F129" i="1"/>
  <c r="D129" i="1" s="1"/>
  <c r="E129" i="1"/>
  <c r="F128" i="1"/>
  <c r="E128" i="1"/>
  <c r="D128" i="1"/>
  <c r="F127" i="1"/>
  <c r="E127" i="1"/>
  <c r="D127" i="1"/>
  <c r="F126" i="1"/>
  <c r="E126" i="1"/>
  <c r="D126" i="1" s="1"/>
  <c r="F125" i="1"/>
  <c r="E125" i="1"/>
  <c r="D125" i="1" s="1"/>
  <c r="F124" i="1"/>
  <c r="E124" i="1"/>
  <c r="D124" i="1" s="1"/>
  <c r="F123" i="1"/>
  <c r="E123" i="1"/>
  <c r="D123" i="1" s="1"/>
  <c r="F122" i="1"/>
  <c r="E122" i="1"/>
  <c r="D122" i="1" s="1"/>
  <c r="F121" i="1"/>
  <c r="D121" i="1" s="1"/>
  <c r="E121" i="1"/>
  <c r="F120" i="1"/>
  <c r="E120" i="1"/>
  <c r="D120" i="1"/>
  <c r="F119" i="1"/>
  <c r="E119" i="1"/>
  <c r="D119" i="1"/>
  <c r="F118" i="1"/>
  <c r="E118" i="1"/>
  <c r="D118" i="1" s="1"/>
  <c r="F117" i="1"/>
  <c r="E117" i="1"/>
  <c r="D117" i="1" s="1"/>
  <c r="F116" i="1"/>
  <c r="E116" i="1"/>
  <c r="D116" i="1" s="1"/>
  <c r="F115" i="1"/>
  <c r="D115" i="1" s="1"/>
  <c r="E115" i="1"/>
  <c r="F114" i="1"/>
  <c r="E114" i="1"/>
  <c r="D114" i="1" s="1"/>
  <c r="F113" i="1"/>
  <c r="D113" i="1" s="1"/>
  <c r="E113" i="1"/>
  <c r="F112" i="1"/>
  <c r="E112" i="1"/>
  <c r="D112" i="1"/>
  <c r="F111" i="1"/>
  <c r="E111" i="1"/>
  <c r="D111" i="1"/>
  <c r="F110" i="1"/>
  <c r="E110" i="1"/>
  <c r="D110" i="1" s="1"/>
  <c r="F109" i="1"/>
  <c r="E109" i="1"/>
  <c r="D109" i="1" s="1"/>
  <c r="F108" i="1"/>
  <c r="E108" i="1"/>
  <c r="D108" i="1" s="1"/>
  <c r="F107" i="1"/>
  <c r="D107" i="1" s="1"/>
  <c r="E107" i="1"/>
  <c r="F106" i="1"/>
  <c r="E106" i="1"/>
  <c r="D106" i="1" s="1"/>
  <c r="F105" i="1"/>
  <c r="D105" i="1" s="1"/>
  <c r="E105" i="1"/>
  <c r="F104" i="1"/>
  <c r="E104" i="1"/>
  <c r="D104" i="1"/>
  <c r="F103" i="1"/>
  <c r="E103" i="1"/>
  <c r="D103" i="1"/>
  <c r="F102" i="1"/>
  <c r="E102" i="1"/>
  <c r="D102" i="1" s="1"/>
  <c r="F101" i="1"/>
  <c r="E101" i="1"/>
  <c r="D101" i="1" s="1"/>
  <c r="F100" i="1"/>
  <c r="E100" i="1"/>
  <c r="D100" i="1" s="1"/>
  <c r="F99" i="1"/>
  <c r="D99" i="1" s="1"/>
  <c r="E99" i="1"/>
  <c r="F98" i="1"/>
  <c r="E98" i="1"/>
  <c r="D98" i="1" s="1"/>
  <c r="F97" i="1"/>
  <c r="D97" i="1" s="1"/>
  <c r="E97" i="1"/>
  <c r="F96" i="1"/>
  <c r="E96" i="1"/>
  <c r="D96" i="1"/>
  <c r="F95" i="1"/>
  <c r="E95" i="1"/>
  <c r="D95" i="1"/>
  <c r="F94" i="1"/>
  <c r="E94" i="1"/>
  <c r="D94" i="1" s="1"/>
  <c r="F93" i="1"/>
  <c r="E93" i="1"/>
  <c r="D93" i="1" s="1"/>
  <c r="F92" i="1"/>
  <c r="E92" i="1"/>
  <c r="D92" i="1" s="1"/>
  <c r="F91" i="1"/>
  <c r="D91" i="1" s="1"/>
  <c r="E91" i="1"/>
  <c r="F90" i="1"/>
  <c r="E90" i="1"/>
  <c r="D90" i="1" s="1"/>
  <c r="F89" i="1"/>
  <c r="D89" i="1" s="1"/>
  <c r="E89" i="1"/>
  <c r="F88" i="1"/>
  <c r="E88" i="1"/>
  <c r="D88" i="1"/>
  <c r="F87" i="1"/>
  <c r="E87" i="1"/>
  <c r="D87" i="1"/>
  <c r="F86" i="1"/>
  <c r="E86" i="1"/>
  <c r="D86" i="1" s="1"/>
  <c r="F85" i="1"/>
  <c r="E85" i="1"/>
  <c r="D85" i="1" s="1"/>
  <c r="F84" i="1"/>
  <c r="E84" i="1"/>
  <c r="D84" i="1" s="1"/>
  <c r="F83" i="1"/>
  <c r="D83" i="1" s="1"/>
  <c r="E83" i="1"/>
  <c r="F82" i="1"/>
  <c r="E82" i="1"/>
  <c r="D82" i="1" s="1"/>
  <c r="F81" i="1"/>
  <c r="D81" i="1" s="1"/>
  <c r="E81" i="1"/>
  <c r="F80" i="1"/>
  <c r="E80" i="1"/>
  <c r="D80" i="1"/>
  <c r="F79" i="1"/>
  <c r="E79" i="1"/>
  <c r="D79" i="1"/>
  <c r="F78" i="1"/>
  <c r="E78" i="1"/>
  <c r="D78" i="1" s="1"/>
  <c r="F77" i="1"/>
  <c r="E77" i="1"/>
  <c r="D77" i="1" s="1"/>
  <c r="F76" i="1"/>
  <c r="E76" i="1"/>
  <c r="D76" i="1" s="1"/>
  <c r="F75" i="1"/>
  <c r="D75" i="1" s="1"/>
  <c r="E75" i="1"/>
  <c r="F74" i="1"/>
  <c r="E74" i="1"/>
  <c r="D74" i="1" s="1"/>
  <c r="F73" i="1"/>
  <c r="D73" i="1" s="1"/>
  <c r="E73" i="1"/>
  <c r="F72" i="1"/>
  <c r="E72" i="1"/>
  <c r="D72" i="1"/>
  <c r="F71" i="1"/>
  <c r="E71" i="1"/>
  <c r="D71" i="1"/>
  <c r="F70" i="1"/>
  <c r="E70" i="1"/>
  <c r="D70" i="1" s="1"/>
  <c r="F69" i="1"/>
  <c r="E69" i="1"/>
  <c r="D69" i="1" s="1"/>
  <c r="F68" i="1"/>
  <c r="E68" i="1"/>
  <c r="D68" i="1" s="1"/>
  <c r="F67" i="1"/>
  <c r="D67" i="1" s="1"/>
  <c r="E67" i="1"/>
  <c r="F66" i="1"/>
  <c r="E66" i="1"/>
  <c r="D66" i="1" s="1"/>
  <c r="F65" i="1"/>
  <c r="D65" i="1" s="1"/>
  <c r="E65" i="1"/>
  <c r="F64" i="1"/>
  <c r="E64" i="1"/>
  <c r="D64" i="1"/>
  <c r="F63" i="1"/>
  <c r="E63" i="1"/>
  <c r="D63" i="1"/>
  <c r="F62" i="1"/>
  <c r="E62" i="1"/>
  <c r="D62" i="1" s="1"/>
  <c r="F61" i="1"/>
  <c r="E61" i="1"/>
  <c r="D61" i="1" s="1"/>
  <c r="F60" i="1"/>
  <c r="E60" i="1"/>
  <c r="D60" i="1" s="1"/>
  <c r="F59" i="1"/>
  <c r="D59" i="1" s="1"/>
  <c r="E59" i="1"/>
  <c r="F58" i="1"/>
  <c r="E58" i="1"/>
  <c r="D58" i="1" s="1"/>
  <c r="F57" i="1"/>
  <c r="D57" i="1" s="1"/>
  <c r="E57" i="1"/>
  <c r="F56" i="1"/>
  <c r="E56" i="1"/>
  <c r="D56" i="1"/>
  <c r="F55" i="1"/>
  <c r="E55" i="1"/>
  <c r="D55" i="1"/>
  <c r="F54" i="1"/>
  <c r="E54" i="1"/>
  <c r="D54" i="1" s="1"/>
  <c r="F53" i="1"/>
  <c r="E53" i="1"/>
  <c r="D53" i="1" s="1"/>
  <c r="F52" i="1"/>
  <c r="E52" i="1"/>
  <c r="D52" i="1" s="1"/>
  <c r="F51" i="1"/>
  <c r="D51" i="1" s="1"/>
  <c r="E51" i="1"/>
  <c r="F50" i="1"/>
  <c r="E50" i="1"/>
  <c r="D50" i="1" s="1"/>
  <c r="F49" i="1"/>
  <c r="D49" i="1" s="1"/>
  <c r="E49" i="1"/>
  <c r="F48" i="1"/>
  <c r="E48" i="1"/>
  <c r="D48" i="1"/>
  <c r="F47" i="1"/>
  <c r="E47" i="1"/>
  <c r="D47" i="1"/>
  <c r="F46" i="1"/>
  <c r="E46" i="1"/>
  <c r="D46" i="1" s="1"/>
  <c r="F45" i="1"/>
  <c r="E45" i="1"/>
  <c r="D45" i="1" s="1"/>
  <c r="F44" i="1"/>
  <c r="E44" i="1"/>
  <c r="D44" i="1" s="1"/>
  <c r="F43" i="1"/>
  <c r="D43" i="1" s="1"/>
  <c r="E43" i="1"/>
  <c r="F42" i="1"/>
  <c r="E42" i="1"/>
  <c r="D42" i="1" s="1"/>
  <c r="F41" i="1"/>
  <c r="D41" i="1" s="1"/>
  <c r="E41" i="1"/>
  <c r="F40" i="1"/>
  <c r="E40" i="1"/>
  <c r="D40" i="1"/>
  <c r="F39" i="1"/>
  <c r="E39" i="1"/>
  <c r="D39" i="1"/>
  <c r="F38" i="1"/>
  <c r="E38" i="1"/>
  <c r="D38" i="1" s="1"/>
  <c r="F37" i="1"/>
  <c r="E37" i="1"/>
  <c r="D37" i="1" s="1"/>
  <c r="F36" i="1"/>
  <c r="E36" i="1"/>
  <c r="D36" i="1" s="1"/>
  <c r="F35" i="1"/>
  <c r="D35" i="1" s="1"/>
  <c r="E35" i="1"/>
  <c r="F34" i="1"/>
  <c r="E34" i="1"/>
  <c r="D34" i="1" s="1"/>
  <c r="F33" i="1"/>
  <c r="D33" i="1" s="1"/>
  <c r="E33" i="1"/>
  <c r="F32" i="1"/>
  <c r="E32" i="1"/>
  <c r="D32" i="1"/>
  <c r="F31" i="1"/>
  <c r="E31" i="1"/>
  <c r="D31" i="1"/>
  <c r="F30" i="1"/>
  <c r="E30" i="1"/>
  <c r="D30" i="1" s="1"/>
  <c r="F29" i="1"/>
  <c r="E29" i="1"/>
  <c r="D29" i="1" s="1"/>
  <c r="F28" i="1"/>
  <c r="E28" i="1"/>
  <c r="D28" i="1" s="1"/>
  <c r="F27" i="1"/>
  <c r="D27" i="1" s="1"/>
  <c r="E27" i="1"/>
  <c r="F26" i="1"/>
  <c r="E26" i="1"/>
  <c r="D26" i="1" s="1"/>
  <c r="F25" i="1"/>
  <c r="D25" i="1" s="1"/>
  <c r="E25" i="1"/>
  <c r="F24" i="1"/>
  <c r="E24" i="1"/>
  <c r="D24" i="1"/>
  <c r="F23" i="1"/>
  <c r="E23" i="1"/>
  <c r="D23" i="1"/>
  <c r="F22" i="1"/>
  <c r="E22" i="1"/>
  <c r="D22" i="1" s="1"/>
  <c r="F21" i="1"/>
  <c r="E21" i="1"/>
  <c r="D21" i="1" s="1"/>
  <c r="F20" i="1"/>
  <c r="E20" i="1"/>
  <c r="D20" i="1" s="1"/>
  <c r="F19" i="1"/>
  <c r="D19" i="1" s="1"/>
  <c r="E19" i="1"/>
  <c r="F18" i="1"/>
  <c r="E18" i="1"/>
  <c r="D18" i="1" s="1"/>
  <c r="F17" i="1"/>
  <c r="D17" i="1" s="1"/>
  <c r="E17" i="1"/>
  <c r="F16" i="1"/>
  <c r="E16" i="1"/>
  <c r="D16" i="1"/>
  <c r="F15" i="1"/>
  <c r="E15" i="1"/>
  <c r="D15" i="1"/>
  <c r="F14" i="1"/>
  <c r="E14" i="1"/>
  <c r="D14" i="1" s="1"/>
  <c r="F13" i="1"/>
  <c r="E13" i="1"/>
  <c r="D13" i="1" s="1"/>
  <c r="F12" i="1"/>
  <c r="E12" i="1"/>
  <c r="D12" i="1" s="1"/>
  <c r="F11" i="1"/>
  <c r="D11" i="1" s="1"/>
  <c r="E11" i="1"/>
  <c r="F10" i="1"/>
  <c r="E10" i="1"/>
  <c r="D10" i="1" s="1"/>
  <c r="F9" i="1"/>
  <c r="D9" i="1" s="1"/>
  <c r="E9" i="1"/>
  <c r="E8" i="1"/>
  <c r="D8" i="1"/>
  <c r="E7" i="1"/>
  <c r="D7" i="1" s="1"/>
  <c r="E6" i="1"/>
  <c r="D6" i="1"/>
  <c r="F5" i="1"/>
  <c r="E5" i="1"/>
  <c r="D5" i="1" s="1"/>
  <c r="F4" i="1"/>
  <c r="E4" i="1"/>
  <c r="E3" i="1" s="1"/>
  <c r="O3" i="1"/>
  <c r="N3" i="1"/>
  <c r="M3" i="1"/>
  <c r="L3" i="1"/>
  <c r="K3" i="1"/>
  <c r="J3" i="1"/>
  <c r="I3" i="1"/>
  <c r="H3" i="1"/>
  <c r="G3" i="1"/>
  <c r="F3" i="1"/>
  <c r="D4" i="1" l="1"/>
  <c r="D3" i="1" s="1"/>
</calcChain>
</file>

<file path=xl/sharedStrings.xml><?xml version="1.0" encoding="utf-8"?>
<sst xmlns="http://schemas.openxmlformats.org/spreadsheetml/2006/main" count="2781" uniqueCount="284">
  <si>
    <t>TRIO-LGO Controle de Embargos</t>
  </si>
  <si>
    <t>RODRIGO</t>
  </si>
  <si>
    <t>CHARLES</t>
  </si>
  <si>
    <t>DM ENG.</t>
  </si>
  <si>
    <t>SEQ</t>
  </si>
  <si>
    <t>Torre</t>
  </si>
  <si>
    <t>Tipo</t>
  </si>
  <si>
    <t>Impedida Geral</t>
  </si>
  <si>
    <t>Impedida sem Imissão na Posse</t>
  </si>
  <si>
    <t>Impedida com Imissão na Posse</t>
  </si>
  <si>
    <t>Imissão na Posse</t>
  </si>
  <si>
    <t>Embargo Projeto</t>
  </si>
  <si>
    <t>Embargo Arqueológico</t>
  </si>
  <si>
    <t>Embargo Fundiário</t>
  </si>
  <si>
    <t>Embargo Proprietário</t>
  </si>
  <si>
    <t>Embargo Meio Ambiente</t>
  </si>
  <si>
    <t>Embargo Formulário</t>
  </si>
  <si>
    <t>RNC Fundação</t>
  </si>
  <si>
    <t>RNC 
Estrutura</t>
  </si>
  <si>
    <t>PORT_C1</t>
  </si>
  <si>
    <t>PORT</t>
  </si>
  <si>
    <t>N</t>
  </si>
  <si>
    <t>0/1A</t>
  </si>
  <si>
    <t>MSCAT</t>
  </si>
  <si>
    <t>S</t>
  </si>
  <si>
    <t>0/2_C1</t>
  </si>
  <si>
    <t>KD12A2</t>
  </si>
  <si>
    <t>PORT_C2</t>
  </si>
  <si>
    <t>0/1B</t>
  </si>
  <si>
    <t>0/3</t>
  </si>
  <si>
    <t>KD2AT</t>
  </si>
  <si>
    <t>0/4</t>
  </si>
  <si>
    <t>KD2SL</t>
  </si>
  <si>
    <t>1/1A</t>
  </si>
  <si>
    <t>1/1</t>
  </si>
  <si>
    <t>KD12AE</t>
  </si>
  <si>
    <t>1/2</t>
  </si>
  <si>
    <t>KD2SP</t>
  </si>
  <si>
    <t>2/1</t>
  </si>
  <si>
    <t>2/2</t>
  </si>
  <si>
    <t>2/3</t>
  </si>
  <si>
    <t>3/1</t>
  </si>
  <si>
    <t>KD12A1</t>
  </si>
  <si>
    <t>3/2</t>
  </si>
  <si>
    <t>3/3</t>
  </si>
  <si>
    <t>3/4</t>
  </si>
  <si>
    <t>4/1</t>
  </si>
  <si>
    <t>4/2</t>
  </si>
  <si>
    <t>5/1</t>
  </si>
  <si>
    <t>5/2</t>
  </si>
  <si>
    <t>6/1</t>
  </si>
  <si>
    <t>6/2</t>
  </si>
  <si>
    <t>KD2A1V</t>
  </si>
  <si>
    <t>6/3</t>
  </si>
  <si>
    <t>7/1</t>
  </si>
  <si>
    <t>7/2</t>
  </si>
  <si>
    <t>8/1</t>
  </si>
  <si>
    <t>8/2</t>
  </si>
  <si>
    <t>9/1</t>
  </si>
  <si>
    <t>9/2</t>
  </si>
  <si>
    <t>10/1</t>
  </si>
  <si>
    <t>10/2</t>
  </si>
  <si>
    <t>10/3</t>
  </si>
  <si>
    <t>11/1</t>
  </si>
  <si>
    <t>11/2</t>
  </si>
  <si>
    <t>12/1</t>
  </si>
  <si>
    <t>12/2</t>
  </si>
  <si>
    <t>12/3</t>
  </si>
  <si>
    <t>12/4</t>
  </si>
  <si>
    <t>12/5</t>
  </si>
  <si>
    <t>13/1</t>
  </si>
  <si>
    <t>13/2</t>
  </si>
  <si>
    <t>KD12EM</t>
  </si>
  <si>
    <t>13/3</t>
  </si>
  <si>
    <t>14/1</t>
  </si>
  <si>
    <t>14/2</t>
  </si>
  <si>
    <t>15/1</t>
  </si>
  <si>
    <t>15/2</t>
  </si>
  <si>
    <t>15/3</t>
  </si>
  <si>
    <t>15/4</t>
  </si>
  <si>
    <t>16/1</t>
  </si>
  <si>
    <t>17/1</t>
  </si>
  <si>
    <t>17/2</t>
  </si>
  <si>
    <t>17/3</t>
  </si>
  <si>
    <t>18/1</t>
  </si>
  <si>
    <t>18/2</t>
  </si>
  <si>
    <t>19/1</t>
  </si>
  <si>
    <t>19/2</t>
  </si>
  <si>
    <t>20/1</t>
  </si>
  <si>
    <t>21/1</t>
  </si>
  <si>
    <t>21/2</t>
  </si>
  <si>
    <t>21/3</t>
  </si>
  <si>
    <t>22/1</t>
  </si>
  <si>
    <t>22/2</t>
  </si>
  <si>
    <t>22/3</t>
  </si>
  <si>
    <t>23/1</t>
  </si>
  <si>
    <t>23/2</t>
  </si>
  <si>
    <t>24/1</t>
  </si>
  <si>
    <t>25/1</t>
  </si>
  <si>
    <t>25/2</t>
  </si>
  <si>
    <t>26/1</t>
  </si>
  <si>
    <t>26/2</t>
  </si>
  <si>
    <t>26/3</t>
  </si>
  <si>
    <t>27/1</t>
  </si>
  <si>
    <t>27/2</t>
  </si>
  <si>
    <t>KD2EP</t>
  </si>
  <si>
    <t>28/1</t>
  </si>
  <si>
    <t>28/2</t>
  </si>
  <si>
    <t>29/1</t>
  </si>
  <si>
    <t>29/2</t>
  </si>
  <si>
    <t>30/1</t>
  </si>
  <si>
    <t>30/2</t>
  </si>
  <si>
    <t>31/1</t>
  </si>
  <si>
    <t>31/2</t>
  </si>
  <si>
    <t>32/1</t>
  </si>
  <si>
    <t>32/2</t>
  </si>
  <si>
    <t>33/1</t>
  </si>
  <si>
    <t>33/2</t>
  </si>
  <si>
    <t>34/1</t>
  </si>
  <si>
    <t>34/2</t>
  </si>
  <si>
    <t>35/1</t>
  </si>
  <si>
    <t>35/2</t>
  </si>
  <si>
    <t>35/3</t>
  </si>
  <si>
    <t>36/1</t>
  </si>
  <si>
    <t>36/2</t>
  </si>
  <si>
    <t>KD2TR</t>
  </si>
  <si>
    <t>37/1</t>
  </si>
  <si>
    <t>37/2</t>
  </si>
  <si>
    <t>38/1</t>
  </si>
  <si>
    <t>38/2</t>
  </si>
  <si>
    <t>39/1</t>
  </si>
  <si>
    <t>39/2</t>
  </si>
  <si>
    <t>40/1</t>
  </si>
  <si>
    <t>40/2</t>
  </si>
  <si>
    <t>41/1</t>
  </si>
  <si>
    <t>41/2</t>
  </si>
  <si>
    <t>42/1</t>
  </si>
  <si>
    <t>42/2</t>
  </si>
  <si>
    <t>42/3</t>
  </si>
  <si>
    <t>43/1</t>
  </si>
  <si>
    <t>44/1</t>
  </si>
  <si>
    <t>44/2</t>
  </si>
  <si>
    <t>45/1</t>
  </si>
  <si>
    <t>45/2</t>
  </si>
  <si>
    <t>46/1</t>
  </si>
  <si>
    <t>46/2</t>
  </si>
  <si>
    <t>46/3</t>
  </si>
  <si>
    <t>47/1</t>
  </si>
  <si>
    <t>47/2</t>
  </si>
  <si>
    <t>48/1</t>
  </si>
  <si>
    <t>48/2</t>
  </si>
  <si>
    <t>49/1</t>
  </si>
  <si>
    <t>49/2</t>
  </si>
  <si>
    <t>50/1</t>
  </si>
  <si>
    <t>50/2</t>
  </si>
  <si>
    <t>51/1</t>
  </si>
  <si>
    <t>51/2</t>
  </si>
  <si>
    <t>52/1</t>
  </si>
  <si>
    <t>52/2</t>
  </si>
  <si>
    <t>53/1</t>
  </si>
  <si>
    <t>53/2</t>
  </si>
  <si>
    <t>54/1</t>
  </si>
  <si>
    <t>55/1</t>
  </si>
  <si>
    <t>55/2</t>
  </si>
  <si>
    <t>56/1</t>
  </si>
  <si>
    <t>56/2</t>
  </si>
  <si>
    <t>57/1</t>
  </si>
  <si>
    <t>57/2</t>
  </si>
  <si>
    <t>58/1</t>
  </si>
  <si>
    <t>59/1</t>
  </si>
  <si>
    <t>59/2</t>
  </si>
  <si>
    <t>59/3</t>
  </si>
  <si>
    <t>60/1</t>
  </si>
  <si>
    <t>61/1</t>
  </si>
  <si>
    <t>61/2</t>
  </si>
  <si>
    <t>62/1</t>
  </si>
  <si>
    <t>62/2</t>
  </si>
  <si>
    <t>62/3</t>
  </si>
  <si>
    <t>63/1</t>
  </si>
  <si>
    <t>64/1</t>
  </si>
  <si>
    <t>64/2</t>
  </si>
  <si>
    <t>65/1</t>
  </si>
  <si>
    <t>65/2</t>
  </si>
  <si>
    <t>66/1</t>
  </si>
  <si>
    <t>66/2</t>
  </si>
  <si>
    <t>66/3</t>
  </si>
  <si>
    <t>67/1</t>
  </si>
  <si>
    <t>67/2</t>
  </si>
  <si>
    <t>68/1</t>
  </si>
  <si>
    <t>68/2</t>
  </si>
  <si>
    <t>69/1</t>
  </si>
  <si>
    <t>69/2</t>
  </si>
  <si>
    <t>70/1</t>
  </si>
  <si>
    <t>70/2</t>
  </si>
  <si>
    <t>71/1</t>
  </si>
  <si>
    <t>72/1</t>
  </si>
  <si>
    <t>72/2</t>
  </si>
  <si>
    <t>73/1</t>
  </si>
  <si>
    <t>73/2</t>
  </si>
  <si>
    <t>74/1</t>
  </si>
  <si>
    <t>74/2</t>
  </si>
  <si>
    <t>75/1</t>
  </si>
  <si>
    <t>75/2</t>
  </si>
  <si>
    <t>76/1</t>
  </si>
  <si>
    <t>76/2</t>
  </si>
  <si>
    <t>77/1</t>
  </si>
  <si>
    <t>78/1</t>
  </si>
  <si>
    <t>79/1</t>
  </si>
  <si>
    <t>79/2</t>
  </si>
  <si>
    <t>80/1</t>
  </si>
  <si>
    <t>80/2</t>
  </si>
  <si>
    <t>80/3</t>
  </si>
  <si>
    <t>81/1</t>
  </si>
  <si>
    <t>82/1</t>
  </si>
  <si>
    <t>82/2</t>
  </si>
  <si>
    <t>83/1</t>
  </si>
  <si>
    <t>83/2</t>
  </si>
  <si>
    <t>84/1</t>
  </si>
  <si>
    <t>84/2</t>
  </si>
  <si>
    <t>84/3</t>
  </si>
  <si>
    <t>85/1</t>
  </si>
  <si>
    <t>86/1</t>
  </si>
  <si>
    <t>86/2</t>
  </si>
  <si>
    <t>87/1</t>
  </si>
  <si>
    <t>87/2</t>
  </si>
  <si>
    <t>88/1</t>
  </si>
  <si>
    <t>89/1</t>
  </si>
  <si>
    <t>89/2</t>
  </si>
  <si>
    <t>90/1</t>
  </si>
  <si>
    <t>90/2</t>
  </si>
  <si>
    <t>91/1</t>
  </si>
  <si>
    <t>91/2</t>
  </si>
  <si>
    <t>92/1</t>
  </si>
  <si>
    <t>92/2</t>
  </si>
  <si>
    <t>93/1</t>
  </si>
  <si>
    <t>93/2</t>
  </si>
  <si>
    <t>94/1</t>
  </si>
  <si>
    <t>94/2</t>
  </si>
  <si>
    <t>94/3</t>
  </si>
  <si>
    <t>95/1</t>
  </si>
  <si>
    <t>95/2</t>
  </si>
  <si>
    <t>96/1</t>
  </si>
  <si>
    <t>96/2</t>
  </si>
  <si>
    <t>97/1</t>
  </si>
  <si>
    <t>97/2</t>
  </si>
  <si>
    <t>97/3</t>
  </si>
  <si>
    <t>98/1</t>
  </si>
  <si>
    <t>99/1</t>
  </si>
  <si>
    <t>99/2</t>
  </si>
  <si>
    <t>99/3</t>
  </si>
  <si>
    <t>100/1</t>
  </si>
  <si>
    <t>100/2</t>
  </si>
  <si>
    <t>100/3</t>
  </si>
  <si>
    <t>100/4</t>
  </si>
  <si>
    <t>101/1</t>
  </si>
  <si>
    <t>101/2</t>
  </si>
  <si>
    <t>102/1</t>
  </si>
  <si>
    <t>102/2</t>
  </si>
  <si>
    <t>103/1</t>
  </si>
  <si>
    <t>103/2</t>
  </si>
  <si>
    <t>104/1</t>
  </si>
  <si>
    <t>105/1</t>
  </si>
  <si>
    <t>105/2</t>
  </si>
  <si>
    <t>106/1</t>
  </si>
  <si>
    <t>106/2</t>
  </si>
  <si>
    <t>106/3</t>
  </si>
  <si>
    <t>107/1</t>
  </si>
  <si>
    <t>107/2</t>
  </si>
  <si>
    <t>108/1</t>
  </si>
  <si>
    <t>108/2</t>
  </si>
  <si>
    <t>109/1</t>
  </si>
  <si>
    <t>109/2</t>
  </si>
  <si>
    <t>109/3</t>
  </si>
  <si>
    <t>110/1</t>
  </si>
  <si>
    <t>110/2</t>
  </si>
  <si>
    <t>111/1</t>
  </si>
  <si>
    <t>112/1</t>
  </si>
  <si>
    <t>112/2</t>
  </si>
  <si>
    <t>113/1</t>
  </si>
  <si>
    <t>113/2</t>
  </si>
  <si>
    <t>114/1</t>
  </si>
  <si>
    <t>115/1</t>
  </si>
  <si>
    <t>115/2</t>
  </si>
  <si>
    <t>115/3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</si>
</sst>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" fontId="3" fillId="5" borderId="2" xfId="0" quotePrefix="1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5" borderId="2" xfId="0" quotePrefix="1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0</xdr:row>
      <xdr:rowOff>91440</xdr:rowOff>
    </xdr:from>
    <xdr:ext cx="1802922" cy="674912"/>
    <xdr:pic>
      <xdr:nvPicPr>
        <xdr:cNvPr id="2" name="Imagem 1">
          <a:extLst>
            <a:ext uri="{FF2B5EF4-FFF2-40B4-BE49-F238E27FC236}">
              <a16:creationId xmlns:a16="http://schemas.microsoft.com/office/drawing/2014/main" id="{3662EF9E-98FE-40DC-A49F-887D0660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7660" y="91440"/>
          <a:ext cx="1802922" cy="674912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ASTTEL\4%20-%20TRIO%20-%20LT%20500%20kV%20Terminal%20Rio%20-%20Lagos%20CD%20-%202.1.1\DIAGRAMA\Diagrama.xlsm" TargetMode="External"/><Relationship Id="rId1" Type="http://schemas.openxmlformats.org/officeDocument/2006/relationships/externalLinkPath" Target="4%20-%20TRIO%20-%20LT%20500%20kV%20Terminal%20Rio%20-%20Lagos%20CD%20-%202.1.1/DIAGRAMA/Diagr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DIAGRAMA"/>
      <sheetName val="PRODUCAO"/>
      <sheetName val="BD_FUND"/>
      <sheetName val="PLANTAPERFIL"/>
      <sheetName val="ACP"/>
      <sheetName val="Embargos"/>
      <sheetName val="AUX"/>
      <sheetName val="Resumo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5F79E-0A4A-4EE3-919B-BFB8288B7024}" name="TabEmbargos" displayName="TabEmbargos" ref="A2:O254" totalsRowShown="0" headerRowDxfId="16" dataDxfId="15">
  <autoFilter ref="A2:O254" xr:uid="{A2AA4231-7973-4C6F-8D92-8D893E4639CE}"/>
  <tableColumns count="15">
    <tableColumn id="15" xr3:uid="{89314A13-50C8-4B74-907E-A3F19024807B}" name="SEQ" dataDxfId="14"/>
    <tableColumn id="1" xr3:uid="{D83680ED-4E4A-4D70-85E2-CDBBF6325C78}" name="Torre" dataDxfId="13"/>
    <tableColumn id="2" xr3:uid="{F473E1FD-EC9A-4FCF-A016-545DE837FB41}" name="Tipo" dataDxfId="12"/>
    <tableColumn id="10" xr3:uid="{B84ECD96-12EF-4A01-BC0B-7C3EE00DADAF}" name="Impedida Geral" dataDxfId="11">
      <calculatedColumnFormula>COUNTIF(D$4:D$254,"S")</calculatedColumnFormula>
    </tableColumn>
    <tableColumn id="3" xr3:uid="{0FC16A54-9CA0-4664-93F8-BF8750BEFFE2}" name="Impedida sem Imissão na Posse" dataDxfId="10">
      <calculatedColumnFormula>COUNTIF(E4:$E$254,"S")</calculatedColumnFormula>
    </tableColumn>
    <tableColumn id="9" xr3:uid="{B97D4E82-8996-4955-ABA4-0B9C15416531}" name="Impedida com Imissão na Posse" dataDxfId="9">
      <calculatedColumnFormula>IF(COUNTIF(TabEmbargos[[#This Row],[Imissão na Posse]:[Embargo Proprietário]],"S"),"S","N")</calculatedColumnFormula>
    </tableColumn>
    <tableColumn id="7" xr3:uid="{9BD25023-C72C-4F64-ADC4-5E0D1D0E8BC9}" name="Imissão na Posse" dataDxfId="8"/>
    <tableColumn id="4" xr3:uid="{8188E65B-78C2-4091-AB2A-3AC53464BED8}" name="Embargo Projeto" dataDxfId="7">
      <calculatedColumnFormula>COUNTIF($E4:H$254,"S")</calculatedColumnFormula>
    </tableColumn>
    <tableColumn id="5" xr3:uid="{C1509594-F666-42DA-B596-DE02B9FD783B}" name="Embargo Arqueológico" dataDxfId="6">
      <calculatedColumnFormula>COUNTIF($E4:I$254,"S")</calculatedColumnFormula>
    </tableColumn>
    <tableColumn id="6" xr3:uid="{34462556-A1E8-4263-8653-5E04C2314C7B}" name="Embargo Fundiário" dataDxfId="5"/>
    <tableColumn id="8" xr3:uid="{6CFDB76F-49B5-4EF0-8BE6-11DA86889CCF}" name="Embargo Proprietário" dataDxfId="4">
      <calculatedColumnFormula>COUNTIF($E4:K$254,"S")</calculatedColumnFormula>
    </tableColumn>
    <tableColumn id="11" xr3:uid="{06C853E3-2FD1-40C9-B775-E4C2D21DE809}" name="Embargo Meio Ambiente" dataDxfId="3"/>
    <tableColumn id="12" xr3:uid="{05C219A9-7057-461E-8A60-00CA07451432}" name="Embargo Formulário" dataDxfId="2"/>
    <tableColumn id="13" xr3:uid="{4E06CA7A-213B-40C1-9554-AA6E478CE578}" name="RNC Fundação" dataDxfId="1"/>
    <tableColumn id="14" xr3:uid="{59C53D9E-C945-4A28-A732-CC34EFFADE0C}" name="RNC _x000a_Estrutur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179A-8F78-42B8-8040-9B2BEB4456D0}">
  <sheetPr codeName="Planilha5"/>
  <dimension ref="A1:O256"/>
  <sheetViews>
    <sheetView showGridLines="0" tabSelected="1" workbookViewId="0">
      <selection activeCell="J7" sqref="J7"/>
    </sheetView>
  </sheetViews>
  <sheetFormatPr defaultRowHeight="14.4" x14ac:dyDescent="0.3"/>
  <cols>
    <col min="1" max="1" width="3.88671875" customWidth="1"/>
    <col min="2" max="2" width="9.88671875" bestFit="1" customWidth="1"/>
    <col min="3" max="3" width="9.109375" bestFit="1" customWidth="1"/>
    <col min="4" max="4" width="12.44140625" bestFit="1" customWidth="1"/>
    <col min="5" max="5" width="25.109375" customWidth="1"/>
    <col min="6" max="6" width="19.6640625" bestFit="1" customWidth="1"/>
    <col min="7" max="9" width="12.77734375" customWidth="1"/>
    <col min="10" max="10" width="20.88671875" customWidth="1"/>
    <col min="11" max="11" width="12.77734375" customWidth="1"/>
    <col min="12" max="12" width="14.44140625" customWidth="1"/>
  </cols>
  <sheetData>
    <row r="1" spans="1:15" ht="63" customHeight="1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3" t="s">
        <v>2</v>
      </c>
      <c r="N1" s="4" t="s">
        <v>3</v>
      </c>
      <c r="O1" s="5"/>
    </row>
    <row r="2" spans="1:15" ht="48" customHeight="1" x14ac:dyDescent="0.3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</row>
    <row r="3" spans="1:15" x14ac:dyDescent="0.3">
      <c r="A3" s="7"/>
      <c r="B3" s="8"/>
      <c r="C3" s="9"/>
      <c r="D3" s="9">
        <f>COUNTIF(D$4:D$254,"E")</f>
        <v>109</v>
      </c>
      <c r="E3" s="10">
        <f>COUNTIF(E$4:E$254,"S")</f>
        <v>109</v>
      </c>
      <c r="F3" s="10">
        <f>COUNTIF(F$4:F$254,"S")</f>
        <v>36</v>
      </c>
      <c r="G3" s="10">
        <f>COUNTIF(G$4:G$254,"S")</f>
        <v>83</v>
      </c>
      <c r="H3" s="10">
        <f t="shared" ref="H3:O3" si="0">COUNTIF(H$4:H$254,"S")</f>
        <v>63</v>
      </c>
      <c r="I3" s="10">
        <f t="shared" si="0"/>
        <v>22</v>
      </c>
      <c r="J3" s="10">
        <f t="shared" si="0"/>
        <v>79</v>
      </c>
      <c r="K3" s="10">
        <f t="shared" si="0"/>
        <v>1</v>
      </c>
      <c r="L3" s="10">
        <f t="shared" si="0"/>
        <v>30</v>
      </c>
      <c r="M3" s="10">
        <f t="shared" si="0"/>
        <v>0</v>
      </c>
      <c r="N3" s="10">
        <f t="shared" si="0"/>
        <v>0</v>
      </c>
      <c r="O3" s="10">
        <f t="shared" si="0"/>
        <v>0</v>
      </c>
    </row>
    <row r="4" spans="1:15" x14ac:dyDescent="0.3">
      <c r="A4" s="11">
        <v>1</v>
      </c>
      <c r="B4" s="12" t="s">
        <v>19</v>
      </c>
      <c r="C4" s="12" t="s">
        <v>20</v>
      </c>
      <c r="D4" s="13" t="str">
        <f>IF(OR(TabEmbargos[[#This Row],[Impedida sem Imissão na Posse]]="S",TabEmbargos[[#This Row],[Impedida com Imissão na Posse]]="S"),"E","L")</f>
        <v>L</v>
      </c>
      <c r="E4" s="13" t="str">
        <f>IF(COUNTIF(TabEmbargos[[#This Row],[Embargo Projeto]:[Embargo Meio Ambiente]],"S"),"S","N")</f>
        <v>N</v>
      </c>
      <c r="F4" s="13" t="str">
        <f>IF(AND(TabEmbargos[[#This Row],[Embargo Projeto]]="S",TabEmbargos[[#This Row],[Embargo Fundiário]]="S"),"S","N")</f>
        <v>N</v>
      </c>
      <c r="G4" s="13" t="s">
        <v>21</v>
      </c>
      <c r="H4" s="13" t="s">
        <v>21</v>
      </c>
      <c r="I4" s="13" t="s">
        <v>21</v>
      </c>
      <c r="J4" s="13" t="s">
        <v>21</v>
      </c>
      <c r="K4" s="13" t="s">
        <v>21</v>
      </c>
      <c r="L4" s="13" t="s">
        <v>21</v>
      </c>
      <c r="M4" s="13" t="s">
        <v>21</v>
      </c>
      <c r="N4" s="13" t="s">
        <v>21</v>
      </c>
      <c r="O4" s="13" t="s">
        <v>21</v>
      </c>
    </row>
    <row r="5" spans="1:15" x14ac:dyDescent="0.3">
      <c r="A5" s="11">
        <v>2</v>
      </c>
      <c r="B5" s="12" t="s">
        <v>22</v>
      </c>
      <c r="C5" s="12" t="s">
        <v>23</v>
      </c>
      <c r="D5" s="13" t="str">
        <f>IF(OR(TabEmbargos[[#This Row],[Impedida sem Imissão na Posse]]="S",TabEmbargos[[#This Row],[Impedida com Imissão na Posse]]="S"),"E","L")</f>
        <v>E</v>
      </c>
      <c r="E5" s="13" t="str">
        <f>IF(COUNTIF(TabEmbargos[[#This Row],[Embargo Projeto]:[Embargo Meio Ambiente]],"S"),"S","N")</f>
        <v>S</v>
      </c>
      <c r="F5" s="13" t="str">
        <f>IF(AND(TabEmbargos[[#This Row],[Embargo Projeto]]="S",TabEmbargos[[#This Row],[Embargo Fundiário]]="S"),"S","N")</f>
        <v>N</v>
      </c>
      <c r="G5" s="13" t="s">
        <v>21</v>
      </c>
      <c r="H5" s="13" t="s">
        <v>24</v>
      </c>
      <c r="I5" s="13" t="s">
        <v>21</v>
      </c>
      <c r="J5" s="13" t="s">
        <v>21</v>
      </c>
      <c r="K5" s="13" t="s">
        <v>21</v>
      </c>
      <c r="L5" s="13" t="s">
        <v>21</v>
      </c>
      <c r="M5" s="13" t="s">
        <v>21</v>
      </c>
      <c r="N5" s="13" t="s">
        <v>21</v>
      </c>
      <c r="O5" s="13" t="s">
        <v>21</v>
      </c>
    </row>
    <row r="6" spans="1:15" x14ac:dyDescent="0.3">
      <c r="A6" s="11">
        <v>3</v>
      </c>
      <c r="B6" s="12" t="s">
        <v>25</v>
      </c>
      <c r="C6" s="12" t="s">
        <v>26</v>
      </c>
      <c r="D6" s="13" t="str">
        <f>IF(OR(TabEmbargos[[#This Row],[Impedida sem Imissão na Posse]]="S",TabEmbargos[[#This Row],[Impedida com Imissão na Posse]]="S"),"E","L")</f>
        <v>E</v>
      </c>
      <c r="E6" s="13" t="str">
        <f>IF(COUNTIF(TabEmbargos[[#This Row],[Embargo Projeto]:[Embargo Meio Ambiente]],"S"),"S","N")</f>
        <v>S</v>
      </c>
      <c r="F6" s="13">
        <v>156</v>
      </c>
      <c r="G6" s="13" t="s">
        <v>21</v>
      </c>
      <c r="H6" s="13" t="s">
        <v>24</v>
      </c>
      <c r="I6" s="13" t="s">
        <v>21</v>
      </c>
      <c r="J6" s="13" t="s">
        <v>21</v>
      </c>
      <c r="K6" s="13" t="s">
        <v>21</v>
      </c>
      <c r="L6" s="13" t="s">
        <v>24</v>
      </c>
      <c r="M6" s="13" t="s">
        <v>21</v>
      </c>
      <c r="N6" s="13" t="s">
        <v>21</v>
      </c>
      <c r="O6" s="13" t="s">
        <v>21</v>
      </c>
    </row>
    <row r="7" spans="1:15" x14ac:dyDescent="0.3">
      <c r="A7" s="11">
        <v>4</v>
      </c>
      <c r="B7" s="12" t="s">
        <v>27</v>
      </c>
      <c r="C7" s="12" t="s">
        <v>20</v>
      </c>
      <c r="D7" s="13" t="str">
        <f>IF(OR(TabEmbargos[[#This Row],[Impedida sem Imissão na Posse]]="S",TabEmbargos[[#This Row],[Impedida com Imissão na Posse]]="S"),"E","L")</f>
        <v>L</v>
      </c>
      <c r="E7" s="13" t="str">
        <f>IF(COUNTIF(TabEmbargos[[#This Row],[Embargo Projeto]:[Embargo Meio Ambiente]],"S"),"S","N")</f>
        <v>N</v>
      </c>
      <c r="F7" s="13">
        <v>95</v>
      </c>
      <c r="G7" s="13" t="s">
        <v>21</v>
      </c>
      <c r="H7" s="13" t="s">
        <v>21</v>
      </c>
      <c r="I7" s="13" t="s">
        <v>21</v>
      </c>
      <c r="J7" s="13" t="s">
        <v>21</v>
      </c>
      <c r="K7" s="13" t="s">
        <v>21</v>
      </c>
      <c r="L7" s="13" t="s">
        <v>21</v>
      </c>
      <c r="M7" s="13" t="s">
        <v>21</v>
      </c>
      <c r="N7" s="13" t="s">
        <v>21</v>
      </c>
      <c r="O7" s="13" t="s">
        <v>21</v>
      </c>
    </row>
    <row r="8" spans="1:15" x14ac:dyDescent="0.3">
      <c r="A8" s="11">
        <v>5</v>
      </c>
      <c r="B8" s="12" t="s">
        <v>28</v>
      </c>
      <c r="C8" s="12" t="s">
        <v>23</v>
      </c>
      <c r="D8" s="13" t="str">
        <f>IF(OR(TabEmbargos[[#This Row],[Impedida sem Imissão na Posse]]="S",TabEmbargos[[#This Row],[Impedida com Imissão na Posse]]="S"),"E","L")</f>
        <v>E</v>
      </c>
      <c r="E8" s="13" t="str">
        <f>IF(COUNTIF(TabEmbargos[[#This Row],[Embargo Projeto]:[Embargo Meio Ambiente]],"S"),"S","N")</f>
        <v>S</v>
      </c>
      <c r="F8" s="13">
        <v>0</v>
      </c>
      <c r="G8" s="13" t="s">
        <v>21</v>
      </c>
      <c r="H8" s="13" t="s">
        <v>24</v>
      </c>
      <c r="I8" s="13" t="s">
        <v>21</v>
      </c>
      <c r="J8" s="13" t="s">
        <v>21</v>
      </c>
      <c r="K8" s="13" t="s">
        <v>21</v>
      </c>
      <c r="L8" s="13" t="s">
        <v>24</v>
      </c>
      <c r="M8" s="13" t="s">
        <v>21</v>
      </c>
      <c r="N8" s="13" t="s">
        <v>21</v>
      </c>
      <c r="O8" s="13" t="s">
        <v>21</v>
      </c>
    </row>
    <row r="9" spans="1:15" x14ac:dyDescent="0.3">
      <c r="A9" s="11">
        <v>6</v>
      </c>
      <c r="B9" s="12" t="s">
        <v>29</v>
      </c>
      <c r="C9" s="12" t="s">
        <v>30</v>
      </c>
      <c r="D9" s="13" t="str">
        <f>IF(OR(TabEmbargos[[#This Row],[Impedida sem Imissão na Posse]]="S",TabEmbargos[[#This Row],[Impedida com Imissão na Posse]]="S"),"E","L")</f>
        <v>E</v>
      </c>
      <c r="E9" s="13" t="str">
        <f>IF(COUNTIF(TabEmbargos[[#This Row],[Embargo Projeto]:[Embargo Meio Ambiente]],"S"),"S","N")</f>
        <v>S</v>
      </c>
      <c r="F9" s="13" t="str">
        <f>IF(AND(TabEmbargos[[#This Row],[Embargo Projeto]]="S",TabEmbargos[[#This Row],[Embargo Fundiário]]="S"),"S","N")</f>
        <v>N</v>
      </c>
      <c r="G9" s="13" t="s">
        <v>21</v>
      </c>
      <c r="H9" s="13" t="s">
        <v>24</v>
      </c>
      <c r="I9" s="13" t="s">
        <v>21</v>
      </c>
      <c r="J9" s="13" t="s">
        <v>21</v>
      </c>
      <c r="K9" s="13" t="s">
        <v>21</v>
      </c>
      <c r="L9" s="13" t="s">
        <v>24</v>
      </c>
      <c r="M9" s="13" t="s">
        <v>21</v>
      </c>
      <c r="N9" s="13" t="s">
        <v>21</v>
      </c>
      <c r="O9" s="13" t="s">
        <v>21</v>
      </c>
    </row>
    <row r="10" spans="1:15" x14ac:dyDescent="0.3">
      <c r="A10" s="11">
        <v>7</v>
      </c>
      <c r="B10" s="12" t="s">
        <v>31</v>
      </c>
      <c r="C10" s="12" t="s">
        <v>32</v>
      </c>
      <c r="D10" s="13" t="str">
        <f>IF(OR(TabEmbargos[[#This Row],[Impedida sem Imissão na Posse]]="S",TabEmbargos[[#This Row],[Impedida com Imissão na Posse]]="S"),"E","L")</f>
        <v>E</v>
      </c>
      <c r="E10" s="13" t="str">
        <f>IF(COUNTIF(TabEmbargos[[#This Row],[Embargo Projeto]:[Embargo Meio Ambiente]],"S"),"S","N")</f>
        <v>S</v>
      </c>
      <c r="F10" s="13" t="str">
        <f>IF(AND(TabEmbargos[[#This Row],[Embargo Projeto]]="S",TabEmbargos[[#This Row],[Embargo Fundiário]]="S"),"S","N")</f>
        <v>S</v>
      </c>
      <c r="G10" s="13" t="s">
        <v>24</v>
      </c>
      <c r="H10" s="13" t="s">
        <v>24</v>
      </c>
      <c r="I10" s="13" t="s">
        <v>21</v>
      </c>
      <c r="J10" s="13" t="s">
        <v>24</v>
      </c>
      <c r="K10" s="13" t="s">
        <v>24</v>
      </c>
      <c r="L10" s="13" t="s">
        <v>24</v>
      </c>
      <c r="M10" s="13" t="s">
        <v>21</v>
      </c>
      <c r="N10" s="13" t="s">
        <v>21</v>
      </c>
      <c r="O10" s="13" t="s">
        <v>21</v>
      </c>
    </row>
    <row r="11" spans="1:15" x14ac:dyDescent="0.3">
      <c r="A11" s="11">
        <v>8</v>
      </c>
      <c r="B11" s="12" t="s">
        <v>33</v>
      </c>
      <c r="C11" s="12" t="s">
        <v>26</v>
      </c>
      <c r="D11" s="13" t="str">
        <f>IF(OR(TabEmbargos[[#This Row],[Impedida sem Imissão na Posse]]="S",TabEmbargos[[#This Row],[Impedida com Imissão na Posse]]="S"),"E","L")</f>
        <v>E</v>
      </c>
      <c r="E11" s="13" t="str">
        <f>IF(COUNTIF(TabEmbargos[[#This Row],[Embargo Projeto]:[Embargo Meio Ambiente]],"S"),"S","N")</f>
        <v>S</v>
      </c>
      <c r="F11" s="13" t="str">
        <f>IF(AND(TabEmbargos[[#This Row],[Embargo Projeto]]="S",TabEmbargos[[#This Row],[Embargo Fundiário]]="S"),"S","N")</f>
        <v>N</v>
      </c>
      <c r="G11" s="13" t="s">
        <v>24</v>
      </c>
      <c r="H11" s="13" t="s">
        <v>24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</row>
    <row r="12" spans="1:15" x14ac:dyDescent="0.3">
      <c r="A12" s="11">
        <v>9</v>
      </c>
      <c r="B12" s="14" t="s">
        <v>34</v>
      </c>
      <c r="C12" s="12" t="s">
        <v>35</v>
      </c>
      <c r="D12" s="13" t="str">
        <f>IF(OR(TabEmbargos[[#This Row],[Impedida sem Imissão na Posse]]="S",TabEmbargos[[#This Row],[Impedida com Imissão na Posse]]="S"),"E","L")</f>
        <v>E</v>
      </c>
      <c r="E12" s="13" t="str">
        <f>IF(COUNTIF(TabEmbargos[[#This Row],[Embargo Projeto]:[Embargo Meio Ambiente]],"S"),"S","N")</f>
        <v>S</v>
      </c>
      <c r="F12" s="13" t="str">
        <f>IF(AND(TabEmbargos[[#This Row],[Embargo Projeto]]="S",TabEmbargos[[#This Row],[Embargo Fundiário]]="S"),"S","N")</f>
        <v>N</v>
      </c>
      <c r="G12" s="13" t="s">
        <v>24</v>
      </c>
      <c r="H12" s="13" t="s">
        <v>24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</row>
    <row r="13" spans="1:15" x14ac:dyDescent="0.3">
      <c r="A13" s="11">
        <v>10</v>
      </c>
      <c r="B13" s="12" t="s">
        <v>36</v>
      </c>
      <c r="C13" s="12" t="s">
        <v>37</v>
      </c>
      <c r="D13" s="13" t="str">
        <f>IF(OR(TabEmbargos[[#This Row],[Impedida sem Imissão na Posse]]="S",TabEmbargos[[#This Row],[Impedida com Imissão na Posse]]="S"),"E","L")</f>
        <v>E</v>
      </c>
      <c r="E13" s="13" t="str">
        <f>IF(COUNTIF(TabEmbargos[[#This Row],[Embargo Projeto]:[Embargo Meio Ambiente]],"S"),"S","N")</f>
        <v>S</v>
      </c>
      <c r="F13" s="13" t="str">
        <f>IF(AND(TabEmbargos[[#This Row],[Embargo Projeto]]="S",TabEmbargos[[#This Row],[Embargo Fundiário]]="S"),"S","N")</f>
        <v>N</v>
      </c>
      <c r="G13" s="13" t="s">
        <v>21</v>
      </c>
      <c r="H13" s="13" t="s">
        <v>24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</row>
    <row r="14" spans="1:15" x14ac:dyDescent="0.3">
      <c r="A14" s="11">
        <v>11</v>
      </c>
      <c r="B14" s="12" t="s">
        <v>38</v>
      </c>
      <c r="C14" s="12" t="s">
        <v>30</v>
      </c>
      <c r="D14" s="13" t="str">
        <f>IF(OR(TabEmbargos[[#This Row],[Impedida sem Imissão na Posse]]="S",TabEmbargos[[#This Row],[Impedida com Imissão na Posse]]="S"),"E","L")</f>
        <v>L</v>
      </c>
      <c r="E14" s="13" t="str">
        <f>IF(COUNTIF(TabEmbargos[[#This Row],[Embargo Projeto]:[Embargo Meio Ambiente]],"S"),"S","N")</f>
        <v>N</v>
      </c>
      <c r="F14" s="13" t="str">
        <f>IF(AND(TabEmbargos[[#This Row],[Embargo Projeto]]="S",TabEmbargos[[#This Row],[Embargo Fundiário]]="S"),"S","N")</f>
        <v>N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</row>
    <row r="15" spans="1:15" x14ac:dyDescent="0.3">
      <c r="A15" s="11">
        <v>12</v>
      </c>
      <c r="B15" s="12" t="s">
        <v>39</v>
      </c>
      <c r="C15" s="12" t="s">
        <v>32</v>
      </c>
      <c r="D15" s="13" t="str">
        <f>IF(OR(TabEmbargos[[#This Row],[Impedida sem Imissão na Posse]]="S",TabEmbargos[[#This Row],[Impedida com Imissão na Posse]]="S"),"E","L")</f>
        <v>L</v>
      </c>
      <c r="E15" s="13" t="str">
        <f>IF(COUNTIF(TabEmbargos[[#This Row],[Embargo Projeto]:[Embargo Meio Ambiente]],"S"),"S","N")</f>
        <v>N</v>
      </c>
      <c r="F15" s="13" t="str">
        <f>IF(AND(TabEmbargos[[#This Row],[Embargo Projeto]]="S",TabEmbargos[[#This Row],[Embargo Fundiário]]="S"),"S","N")</f>
        <v>N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</row>
    <row r="16" spans="1:15" x14ac:dyDescent="0.3">
      <c r="A16" s="11">
        <v>13</v>
      </c>
      <c r="B16" s="12" t="s">
        <v>40</v>
      </c>
      <c r="C16" s="12" t="s">
        <v>32</v>
      </c>
      <c r="D16" s="13" t="str">
        <f>IF(OR(TabEmbargos[[#This Row],[Impedida sem Imissão na Posse]]="S",TabEmbargos[[#This Row],[Impedida com Imissão na Posse]]="S"),"E","L")</f>
        <v>L</v>
      </c>
      <c r="E16" s="13" t="str">
        <f>IF(COUNTIF(TabEmbargos[[#This Row],[Embargo Projeto]:[Embargo Meio Ambiente]],"S"),"S","N")</f>
        <v>N</v>
      </c>
      <c r="F16" s="13" t="str">
        <f>IF(AND(TabEmbargos[[#This Row],[Embargo Projeto]]="S",TabEmbargos[[#This Row],[Embargo Fundiário]]="S"),"S","N")</f>
        <v>N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</row>
    <row r="17" spans="1:15" x14ac:dyDescent="0.3">
      <c r="A17" s="11">
        <v>14</v>
      </c>
      <c r="B17" s="12" t="s">
        <v>41</v>
      </c>
      <c r="C17" s="12" t="s">
        <v>42</v>
      </c>
      <c r="D17" s="13" t="str">
        <f>IF(OR(TabEmbargos[[#This Row],[Impedida sem Imissão na Posse]]="S",TabEmbargos[[#This Row],[Impedida com Imissão na Posse]]="S"),"E","L")</f>
        <v>E</v>
      </c>
      <c r="E17" s="13" t="str">
        <f>IF(COUNTIF(TabEmbargos[[#This Row],[Embargo Projeto]:[Embargo Meio Ambiente]],"S"),"S","N")</f>
        <v>S</v>
      </c>
      <c r="F17" s="13" t="str">
        <f>IF(AND(TabEmbargos[[#This Row],[Embargo Projeto]]="S",TabEmbargos[[#This Row],[Embargo Fundiário]]="S"),"S","N")</f>
        <v>N</v>
      </c>
      <c r="G17" s="13" t="s">
        <v>21</v>
      </c>
      <c r="H17" s="13" t="s">
        <v>24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</row>
    <row r="18" spans="1:15" x14ac:dyDescent="0.3">
      <c r="A18" s="11">
        <v>15</v>
      </c>
      <c r="B18" s="12" t="s">
        <v>43</v>
      </c>
      <c r="C18" s="12" t="s">
        <v>26</v>
      </c>
      <c r="D18" s="13" t="str">
        <f>IF(OR(TabEmbargos[[#This Row],[Impedida sem Imissão na Posse]]="S",TabEmbargos[[#This Row],[Impedida com Imissão na Posse]]="S"),"E","L")</f>
        <v>E</v>
      </c>
      <c r="E18" s="13" t="str">
        <f>IF(COUNTIF(TabEmbargos[[#This Row],[Embargo Projeto]:[Embargo Meio Ambiente]],"S"),"S","N")</f>
        <v>S</v>
      </c>
      <c r="F18" s="13" t="str">
        <f>IF(AND(TabEmbargos[[#This Row],[Embargo Projeto]]="S",TabEmbargos[[#This Row],[Embargo Fundiário]]="S"),"S","N")</f>
        <v>N</v>
      </c>
      <c r="G18" s="13" t="s">
        <v>24</v>
      </c>
      <c r="H18" s="13" t="s">
        <v>24</v>
      </c>
      <c r="I18" s="13" t="s">
        <v>21</v>
      </c>
      <c r="J18" s="13" t="s">
        <v>21</v>
      </c>
      <c r="K18" s="13" t="s">
        <v>21</v>
      </c>
      <c r="L18" s="13" t="s">
        <v>24</v>
      </c>
      <c r="M18" s="13" t="s">
        <v>21</v>
      </c>
      <c r="N18" s="13" t="s">
        <v>21</v>
      </c>
      <c r="O18" s="13" t="s">
        <v>21</v>
      </c>
    </row>
    <row r="19" spans="1:15" x14ac:dyDescent="0.3">
      <c r="A19" s="11">
        <v>16</v>
      </c>
      <c r="B19" s="12" t="s">
        <v>44</v>
      </c>
      <c r="C19" s="12" t="s">
        <v>32</v>
      </c>
      <c r="D19" s="13" t="str">
        <f>IF(OR(TabEmbargos[[#This Row],[Impedida sem Imissão na Posse]]="S",TabEmbargos[[#This Row],[Impedida com Imissão na Posse]]="S"),"E","L")</f>
        <v>E</v>
      </c>
      <c r="E19" s="13" t="str">
        <f>IF(COUNTIF(TabEmbargos[[#This Row],[Embargo Projeto]:[Embargo Meio Ambiente]],"S"),"S","N")</f>
        <v>S</v>
      </c>
      <c r="F19" s="13" t="str">
        <f>IF(AND(TabEmbargos[[#This Row],[Embargo Projeto]]="S",TabEmbargos[[#This Row],[Embargo Fundiário]]="S"),"S","N")</f>
        <v>N</v>
      </c>
      <c r="G19" s="13" t="s">
        <v>21</v>
      </c>
      <c r="H19" s="13" t="s">
        <v>24</v>
      </c>
      <c r="I19" s="13" t="s">
        <v>21</v>
      </c>
      <c r="J19" s="13" t="s">
        <v>21</v>
      </c>
      <c r="K19" s="13" t="s">
        <v>21</v>
      </c>
      <c r="L19" s="13" t="s">
        <v>24</v>
      </c>
      <c r="M19" s="13" t="s">
        <v>21</v>
      </c>
      <c r="N19" s="13" t="s">
        <v>21</v>
      </c>
      <c r="O19" s="13" t="s">
        <v>21</v>
      </c>
    </row>
    <row r="20" spans="1:15" x14ac:dyDescent="0.3">
      <c r="A20" s="11">
        <v>17</v>
      </c>
      <c r="B20" s="12" t="s">
        <v>45</v>
      </c>
      <c r="C20" s="12" t="s">
        <v>42</v>
      </c>
      <c r="D20" s="13" t="str">
        <f>IF(OR(TabEmbargos[[#This Row],[Impedida sem Imissão na Posse]]="S",TabEmbargos[[#This Row],[Impedida com Imissão na Posse]]="S"),"E","L")</f>
        <v>L</v>
      </c>
      <c r="E20" s="13" t="str">
        <f>IF(COUNTIF(TabEmbargos[[#This Row],[Embargo Projeto]:[Embargo Meio Ambiente]],"S"),"S","N")</f>
        <v>N</v>
      </c>
      <c r="F20" s="13" t="str">
        <f>IF(AND(TabEmbargos[[#This Row],[Embargo Projeto]]="S",TabEmbargos[[#This Row],[Embargo Fundiário]]="S"),"S","N")</f>
        <v>N</v>
      </c>
      <c r="G20" s="13" t="s">
        <v>24</v>
      </c>
      <c r="H20" s="13" t="s">
        <v>21</v>
      </c>
      <c r="I20" s="13" t="s">
        <v>21</v>
      </c>
      <c r="J20" s="13" t="s">
        <v>21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</row>
    <row r="21" spans="1:15" x14ac:dyDescent="0.3">
      <c r="A21" s="11">
        <v>18</v>
      </c>
      <c r="B21" s="12" t="s">
        <v>46</v>
      </c>
      <c r="C21" s="12" t="s">
        <v>42</v>
      </c>
      <c r="D21" s="13" t="str">
        <f>IF(OR(TabEmbargos[[#This Row],[Impedida sem Imissão na Posse]]="S",TabEmbargos[[#This Row],[Impedida com Imissão na Posse]]="S"),"E","L")</f>
        <v>L</v>
      </c>
      <c r="E21" s="13" t="str">
        <f>IF(COUNTIF(TabEmbargos[[#This Row],[Embargo Projeto]:[Embargo Meio Ambiente]],"S"),"S","N")</f>
        <v>N</v>
      </c>
      <c r="F21" s="13" t="str">
        <f>IF(AND(TabEmbargos[[#This Row],[Embargo Projeto]]="S",TabEmbargos[[#This Row],[Embargo Fundiário]]="S"),"S","N")</f>
        <v>N</v>
      </c>
      <c r="G21" s="13" t="s">
        <v>21</v>
      </c>
      <c r="H21" s="13" t="s">
        <v>21</v>
      </c>
      <c r="I21" s="13" t="s">
        <v>21</v>
      </c>
      <c r="J21" s="13" t="s">
        <v>21</v>
      </c>
      <c r="K21" s="13" t="s">
        <v>21</v>
      </c>
      <c r="L21" s="13" t="s">
        <v>21</v>
      </c>
      <c r="M21" s="13" t="s">
        <v>21</v>
      </c>
      <c r="N21" s="13" t="s">
        <v>21</v>
      </c>
      <c r="O21" s="13" t="s">
        <v>21</v>
      </c>
    </row>
    <row r="22" spans="1:15" x14ac:dyDescent="0.3">
      <c r="A22" s="11">
        <v>19</v>
      </c>
      <c r="B22" s="12" t="s">
        <v>47</v>
      </c>
      <c r="C22" s="12" t="s">
        <v>42</v>
      </c>
      <c r="D22" s="13" t="str">
        <f>IF(OR(TabEmbargos[[#This Row],[Impedida sem Imissão na Posse]]="S",TabEmbargos[[#This Row],[Impedida com Imissão na Posse]]="S"),"E","L")</f>
        <v>L</v>
      </c>
      <c r="E22" s="13" t="str">
        <f>IF(COUNTIF(TabEmbargos[[#This Row],[Embargo Projeto]:[Embargo Meio Ambiente]],"S"),"S","N")</f>
        <v>N</v>
      </c>
      <c r="F22" s="13" t="str">
        <f>IF(AND(TabEmbargos[[#This Row],[Embargo Projeto]]="S",TabEmbargos[[#This Row],[Embargo Fundiário]]="S"),"S","N")</f>
        <v>N</v>
      </c>
      <c r="G22" s="13" t="s">
        <v>21</v>
      </c>
      <c r="H22" s="13" t="s">
        <v>21</v>
      </c>
      <c r="I22" s="13" t="s">
        <v>21</v>
      </c>
      <c r="J22" s="13" t="s">
        <v>21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</row>
    <row r="23" spans="1:15" x14ac:dyDescent="0.3">
      <c r="A23" s="11">
        <v>20</v>
      </c>
      <c r="B23" s="12" t="s">
        <v>48</v>
      </c>
      <c r="C23" s="12" t="s">
        <v>32</v>
      </c>
      <c r="D23" s="13" t="str">
        <f>IF(OR(TabEmbargos[[#This Row],[Impedida sem Imissão na Posse]]="S",TabEmbargos[[#This Row],[Impedida com Imissão na Posse]]="S"),"E","L")</f>
        <v>L</v>
      </c>
      <c r="E23" s="13" t="str">
        <f>IF(COUNTIF(TabEmbargos[[#This Row],[Embargo Projeto]:[Embargo Meio Ambiente]],"S"),"S","N")</f>
        <v>N</v>
      </c>
      <c r="F23" s="13" t="str">
        <f>IF(AND(TabEmbargos[[#This Row],[Embargo Projeto]]="S",TabEmbargos[[#This Row],[Embargo Fundiário]]="S"),"S","N")</f>
        <v>N</v>
      </c>
      <c r="G23" s="13" t="s">
        <v>21</v>
      </c>
      <c r="H23" s="13" t="s">
        <v>21</v>
      </c>
      <c r="I23" s="13" t="s">
        <v>21</v>
      </c>
      <c r="J23" s="13" t="s">
        <v>21</v>
      </c>
      <c r="K23" s="13" t="s">
        <v>21</v>
      </c>
      <c r="L23" s="13" t="s">
        <v>21</v>
      </c>
      <c r="M23" s="13" t="s">
        <v>21</v>
      </c>
      <c r="N23" s="13" t="s">
        <v>21</v>
      </c>
      <c r="O23" s="13" t="s">
        <v>21</v>
      </c>
    </row>
    <row r="24" spans="1:15" x14ac:dyDescent="0.3">
      <c r="A24" s="11">
        <v>21</v>
      </c>
      <c r="B24" s="12" t="s">
        <v>49</v>
      </c>
      <c r="C24" s="12" t="s">
        <v>32</v>
      </c>
      <c r="D24" s="13" t="str">
        <f>IF(OR(TabEmbargos[[#This Row],[Impedida sem Imissão na Posse]]="S",TabEmbargos[[#This Row],[Impedida com Imissão na Posse]]="S"),"E","L")</f>
        <v>E</v>
      </c>
      <c r="E24" s="13" t="str">
        <f>IF(COUNTIF(TabEmbargos[[#This Row],[Embargo Projeto]:[Embargo Meio Ambiente]],"S"),"S","N")</f>
        <v>S</v>
      </c>
      <c r="F24" s="13" t="str">
        <f>IF(AND(TabEmbargos[[#This Row],[Embargo Projeto]]="S",TabEmbargos[[#This Row],[Embargo Fundiário]]="S"),"S","N")</f>
        <v>N</v>
      </c>
      <c r="G24" s="13" t="s">
        <v>24</v>
      </c>
      <c r="H24" s="13" t="s">
        <v>24</v>
      </c>
      <c r="I24" s="13" t="s">
        <v>21</v>
      </c>
      <c r="J24" s="13" t="s">
        <v>21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</row>
    <row r="25" spans="1:15" x14ac:dyDescent="0.3">
      <c r="A25" s="11">
        <v>22</v>
      </c>
      <c r="B25" s="12" t="s">
        <v>50</v>
      </c>
      <c r="C25" s="12" t="s">
        <v>32</v>
      </c>
      <c r="D25" s="13" t="str">
        <f>IF(OR(TabEmbargos[[#This Row],[Impedida sem Imissão na Posse]]="S",TabEmbargos[[#This Row],[Impedida com Imissão na Posse]]="S"),"E","L")</f>
        <v>L</v>
      </c>
      <c r="E25" s="13" t="str">
        <f>IF(COUNTIF(TabEmbargos[[#This Row],[Embargo Projeto]:[Embargo Meio Ambiente]],"S"),"S","N")</f>
        <v>N</v>
      </c>
      <c r="F25" s="13" t="str">
        <f>IF(AND(TabEmbargos[[#This Row],[Embargo Projeto]]="S",TabEmbargos[[#This Row],[Embargo Fundiário]]="S"),"S","N")</f>
        <v>N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</row>
    <row r="26" spans="1:15" x14ac:dyDescent="0.3">
      <c r="A26" s="11">
        <v>23</v>
      </c>
      <c r="B26" s="12" t="s">
        <v>51</v>
      </c>
      <c r="C26" s="12" t="s">
        <v>52</v>
      </c>
      <c r="D26" s="13" t="str">
        <f>IF(OR(TabEmbargos[[#This Row],[Impedida sem Imissão na Posse]]="S",TabEmbargos[[#This Row],[Impedida com Imissão na Posse]]="S"),"E","L")</f>
        <v>L</v>
      </c>
      <c r="E26" s="13" t="str">
        <f>IF(COUNTIF(TabEmbargos[[#This Row],[Embargo Projeto]:[Embargo Meio Ambiente]],"S"),"S","N")</f>
        <v>N</v>
      </c>
      <c r="F26" s="13" t="str">
        <f>IF(AND(TabEmbargos[[#This Row],[Embargo Projeto]]="S",TabEmbargos[[#This Row],[Embargo Fundiário]]="S"),"S","N")</f>
        <v>N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</row>
    <row r="27" spans="1:15" x14ac:dyDescent="0.3">
      <c r="A27" s="11">
        <v>24</v>
      </c>
      <c r="B27" s="12" t="s">
        <v>53</v>
      </c>
      <c r="C27" s="12" t="s">
        <v>52</v>
      </c>
      <c r="D27" s="13" t="str">
        <f>IF(OR(TabEmbargos[[#This Row],[Impedida sem Imissão na Posse]]="S",TabEmbargos[[#This Row],[Impedida com Imissão na Posse]]="S"),"E","L")</f>
        <v>L</v>
      </c>
      <c r="E27" s="13" t="str">
        <f>IF(COUNTIF(TabEmbargos[[#This Row],[Embargo Projeto]:[Embargo Meio Ambiente]],"S"),"S","N")</f>
        <v>N</v>
      </c>
      <c r="F27" s="13" t="str">
        <f>IF(AND(TabEmbargos[[#This Row],[Embargo Projeto]]="S",TabEmbargos[[#This Row],[Embargo Fundiário]]="S"),"S","N")</f>
        <v>N</v>
      </c>
      <c r="G27" s="13" t="s">
        <v>24</v>
      </c>
      <c r="H27" s="13" t="s">
        <v>21</v>
      </c>
      <c r="I27" s="13" t="s">
        <v>21</v>
      </c>
      <c r="J27" s="13" t="s">
        <v>21</v>
      </c>
      <c r="K27" s="13" t="s">
        <v>21</v>
      </c>
      <c r="L27" s="13" t="s">
        <v>21</v>
      </c>
      <c r="M27" s="13" t="s">
        <v>21</v>
      </c>
      <c r="N27" s="13" t="s">
        <v>21</v>
      </c>
      <c r="O27" s="13" t="s">
        <v>21</v>
      </c>
    </row>
    <row r="28" spans="1:15" x14ac:dyDescent="0.3">
      <c r="A28" s="11">
        <v>25</v>
      </c>
      <c r="B28" s="12" t="s">
        <v>54</v>
      </c>
      <c r="C28" s="12" t="s">
        <v>42</v>
      </c>
      <c r="D28" s="13" t="str">
        <f>IF(OR(TabEmbargos[[#This Row],[Impedida sem Imissão na Posse]]="S",TabEmbargos[[#This Row],[Impedida com Imissão na Posse]]="S"),"E","L")</f>
        <v>L</v>
      </c>
      <c r="E28" s="13" t="str">
        <f>IF(COUNTIF(TabEmbargos[[#This Row],[Embargo Projeto]:[Embargo Meio Ambiente]],"S"),"S","N")</f>
        <v>N</v>
      </c>
      <c r="F28" s="13" t="str">
        <f>IF(AND(TabEmbargos[[#This Row],[Embargo Projeto]]="S",TabEmbargos[[#This Row],[Embargo Fundiário]]="S"),"S","N")</f>
        <v>N</v>
      </c>
      <c r="G28" s="13" t="s">
        <v>21</v>
      </c>
      <c r="H28" s="13" t="s">
        <v>21</v>
      </c>
      <c r="I28" s="13" t="s">
        <v>21</v>
      </c>
      <c r="J28" s="13" t="s">
        <v>21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</row>
    <row r="29" spans="1:15" x14ac:dyDescent="0.3">
      <c r="A29" s="11">
        <v>26</v>
      </c>
      <c r="B29" s="12" t="s">
        <v>55</v>
      </c>
      <c r="C29" s="12" t="s">
        <v>32</v>
      </c>
      <c r="D29" s="13" t="str">
        <f>IF(OR(TabEmbargos[[#This Row],[Impedida sem Imissão na Posse]]="S",TabEmbargos[[#This Row],[Impedida com Imissão na Posse]]="S"),"E","L")</f>
        <v>L</v>
      </c>
      <c r="E29" s="13" t="str">
        <f>IF(COUNTIF(TabEmbargos[[#This Row],[Embargo Projeto]:[Embargo Meio Ambiente]],"S"),"S","N")</f>
        <v>N</v>
      </c>
      <c r="F29" s="13" t="str">
        <f>IF(AND(TabEmbargos[[#This Row],[Embargo Projeto]]="S",TabEmbargos[[#This Row],[Embargo Fundiário]]="S"),"S","N")</f>
        <v>N</v>
      </c>
      <c r="G29" s="13" t="s">
        <v>21</v>
      </c>
      <c r="H29" s="13" t="s">
        <v>21</v>
      </c>
      <c r="I29" s="13" t="s">
        <v>21</v>
      </c>
      <c r="J29" s="13" t="s">
        <v>21</v>
      </c>
      <c r="K29" s="13" t="s">
        <v>21</v>
      </c>
      <c r="L29" s="13" t="s">
        <v>21</v>
      </c>
      <c r="M29" s="13" t="s">
        <v>21</v>
      </c>
      <c r="N29" s="13" t="s">
        <v>21</v>
      </c>
      <c r="O29" s="13" t="s">
        <v>21</v>
      </c>
    </row>
    <row r="30" spans="1:15" x14ac:dyDescent="0.3">
      <c r="A30" s="11">
        <v>27</v>
      </c>
      <c r="B30" s="12" t="s">
        <v>56</v>
      </c>
      <c r="C30" s="12" t="s">
        <v>30</v>
      </c>
      <c r="D30" s="13" t="str">
        <f>IF(OR(TabEmbargos[[#This Row],[Impedida sem Imissão na Posse]]="S",TabEmbargos[[#This Row],[Impedida com Imissão na Posse]]="S"),"E","L")</f>
        <v>L</v>
      </c>
      <c r="E30" s="13" t="str">
        <f>IF(COUNTIF(TabEmbargos[[#This Row],[Embargo Projeto]:[Embargo Meio Ambiente]],"S"),"S","N")</f>
        <v>N</v>
      </c>
      <c r="F30" s="13" t="str">
        <f>IF(AND(TabEmbargos[[#This Row],[Embargo Projeto]]="S",TabEmbargos[[#This Row],[Embargo Fundiário]]="S"),"S","N")</f>
        <v>N</v>
      </c>
      <c r="G30" s="13" t="s">
        <v>21</v>
      </c>
      <c r="H30" s="13" t="s">
        <v>21</v>
      </c>
      <c r="I30" s="13" t="s">
        <v>21</v>
      </c>
      <c r="J30" s="13" t="s">
        <v>21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</row>
    <row r="31" spans="1:15" x14ac:dyDescent="0.3">
      <c r="A31" s="11">
        <v>28</v>
      </c>
      <c r="B31" s="12" t="s">
        <v>57</v>
      </c>
      <c r="C31" s="12" t="s">
        <v>42</v>
      </c>
      <c r="D31" s="13" t="str">
        <f>IF(OR(TabEmbargos[[#This Row],[Impedida sem Imissão na Posse]]="S",TabEmbargos[[#This Row],[Impedida com Imissão na Posse]]="S"),"E","L")</f>
        <v>E</v>
      </c>
      <c r="E31" s="13" t="str">
        <f>IF(COUNTIF(TabEmbargos[[#This Row],[Embargo Projeto]:[Embargo Meio Ambiente]],"S"),"S","N")</f>
        <v>S</v>
      </c>
      <c r="F31" s="13" t="str">
        <f>IF(AND(TabEmbargos[[#This Row],[Embargo Projeto]]="S",TabEmbargos[[#This Row],[Embargo Fundiário]]="S"),"S","N")</f>
        <v>N</v>
      </c>
      <c r="G31" s="13" t="s">
        <v>21</v>
      </c>
      <c r="H31" s="13" t="s">
        <v>24</v>
      </c>
      <c r="I31" s="13" t="s">
        <v>21</v>
      </c>
      <c r="J31" s="13" t="s">
        <v>21</v>
      </c>
      <c r="K31" s="13" t="s">
        <v>21</v>
      </c>
      <c r="L31" s="13" t="s">
        <v>21</v>
      </c>
      <c r="M31" s="13" t="s">
        <v>21</v>
      </c>
      <c r="N31" s="13" t="s">
        <v>21</v>
      </c>
      <c r="O31" s="13" t="s">
        <v>21</v>
      </c>
    </row>
    <row r="32" spans="1:15" x14ac:dyDescent="0.3">
      <c r="A32" s="11">
        <v>29</v>
      </c>
      <c r="B32" s="12" t="s">
        <v>58</v>
      </c>
      <c r="C32" s="12" t="s">
        <v>32</v>
      </c>
      <c r="D32" s="13" t="str">
        <f>IF(OR(TabEmbargos[[#This Row],[Impedida sem Imissão na Posse]]="S",TabEmbargos[[#This Row],[Impedida com Imissão na Posse]]="S"),"E","L")</f>
        <v>E</v>
      </c>
      <c r="E32" s="13" t="str">
        <f>IF(COUNTIF(TabEmbargos[[#This Row],[Embargo Projeto]:[Embargo Meio Ambiente]],"S"),"S","N")</f>
        <v>S</v>
      </c>
      <c r="F32" s="13" t="str">
        <f>IF(AND(TabEmbargos[[#This Row],[Embargo Projeto]]="S",TabEmbargos[[#This Row],[Embargo Fundiário]]="S"),"S","N")</f>
        <v>S</v>
      </c>
      <c r="G32" s="13" t="s">
        <v>21</v>
      </c>
      <c r="H32" s="13" t="s">
        <v>24</v>
      </c>
      <c r="I32" s="13" t="s">
        <v>21</v>
      </c>
      <c r="J32" s="13" t="s">
        <v>24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</row>
    <row r="33" spans="1:15" x14ac:dyDescent="0.3">
      <c r="A33" s="11">
        <v>30</v>
      </c>
      <c r="B33" s="12" t="s">
        <v>59</v>
      </c>
      <c r="C33" s="12" t="s">
        <v>42</v>
      </c>
      <c r="D33" s="13" t="str">
        <f>IF(OR(TabEmbargos[[#This Row],[Impedida sem Imissão na Posse]]="S",TabEmbargos[[#This Row],[Impedida com Imissão na Posse]]="S"),"E","L")</f>
        <v>E</v>
      </c>
      <c r="E33" s="13" t="str">
        <f>IF(COUNTIF(TabEmbargos[[#This Row],[Embargo Projeto]:[Embargo Meio Ambiente]],"S"),"S","N")</f>
        <v>S</v>
      </c>
      <c r="F33" s="13" t="str">
        <f>IF(AND(TabEmbargos[[#This Row],[Embargo Projeto]]="S",TabEmbargos[[#This Row],[Embargo Fundiário]]="S"),"S","N")</f>
        <v>S</v>
      </c>
      <c r="G33" s="13" t="s">
        <v>21</v>
      </c>
      <c r="H33" s="13" t="s">
        <v>24</v>
      </c>
      <c r="I33" s="13" t="s">
        <v>21</v>
      </c>
      <c r="J33" s="13" t="s">
        <v>24</v>
      </c>
      <c r="K33" s="13" t="s">
        <v>21</v>
      </c>
      <c r="L33" s="13" t="s">
        <v>21</v>
      </c>
      <c r="M33" s="13" t="s">
        <v>21</v>
      </c>
      <c r="N33" s="13" t="s">
        <v>21</v>
      </c>
      <c r="O33" s="13" t="s">
        <v>21</v>
      </c>
    </row>
    <row r="34" spans="1:15" x14ac:dyDescent="0.3">
      <c r="A34" s="11">
        <v>31</v>
      </c>
      <c r="B34" s="12" t="s">
        <v>60</v>
      </c>
      <c r="C34" s="12" t="s">
        <v>30</v>
      </c>
      <c r="D34" s="13" t="str">
        <f>IF(OR(TabEmbargos[[#This Row],[Impedida sem Imissão na Posse]]="S",TabEmbargos[[#This Row],[Impedida com Imissão na Posse]]="S"),"E","L")</f>
        <v>E</v>
      </c>
      <c r="E34" s="13" t="str">
        <f>IF(COUNTIF(TabEmbargos[[#This Row],[Embargo Projeto]:[Embargo Meio Ambiente]],"S"),"S","N")</f>
        <v>S</v>
      </c>
      <c r="F34" s="13" t="str">
        <f>IF(AND(TabEmbargos[[#This Row],[Embargo Projeto]]="S",TabEmbargos[[#This Row],[Embargo Fundiário]]="S"),"S","N")</f>
        <v>S</v>
      </c>
      <c r="G34" s="13" t="s">
        <v>21</v>
      </c>
      <c r="H34" s="13" t="s">
        <v>24</v>
      </c>
      <c r="I34" s="13" t="s">
        <v>21</v>
      </c>
      <c r="J34" s="13" t="s">
        <v>24</v>
      </c>
      <c r="K34" s="13" t="s">
        <v>21</v>
      </c>
      <c r="L34" s="13" t="s">
        <v>24</v>
      </c>
      <c r="M34" s="13" t="s">
        <v>21</v>
      </c>
      <c r="N34" s="13" t="s">
        <v>21</v>
      </c>
      <c r="O34" s="13" t="s">
        <v>21</v>
      </c>
    </row>
    <row r="35" spans="1:15" x14ac:dyDescent="0.3">
      <c r="A35" s="11">
        <v>32</v>
      </c>
      <c r="B35" s="12" t="s">
        <v>61</v>
      </c>
      <c r="C35" s="12" t="s">
        <v>32</v>
      </c>
      <c r="D35" s="13" t="str">
        <f>IF(OR(TabEmbargos[[#This Row],[Impedida sem Imissão na Posse]]="S",TabEmbargos[[#This Row],[Impedida com Imissão na Posse]]="S"),"E","L")</f>
        <v>E</v>
      </c>
      <c r="E35" s="13" t="str">
        <f>IF(COUNTIF(TabEmbargos[[#This Row],[Embargo Projeto]:[Embargo Meio Ambiente]],"S"),"S","N")</f>
        <v>S</v>
      </c>
      <c r="F35" s="13" t="str">
        <f>IF(AND(TabEmbargos[[#This Row],[Embargo Projeto]]="S",TabEmbargos[[#This Row],[Embargo Fundiário]]="S"),"S","N")</f>
        <v>S</v>
      </c>
      <c r="G35" s="13" t="s">
        <v>21</v>
      </c>
      <c r="H35" s="13" t="s">
        <v>24</v>
      </c>
      <c r="I35" s="13" t="s">
        <v>21</v>
      </c>
      <c r="J35" s="13" t="s">
        <v>24</v>
      </c>
      <c r="K35" s="13" t="s">
        <v>21</v>
      </c>
      <c r="L35" s="13" t="s">
        <v>24</v>
      </c>
      <c r="M35" s="13" t="s">
        <v>21</v>
      </c>
      <c r="N35" s="13" t="s">
        <v>21</v>
      </c>
      <c r="O35" s="13" t="s">
        <v>21</v>
      </c>
    </row>
    <row r="36" spans="1:15" x14ac:dyDescent="0.3">
      <c r="A36" s="11">
        <v>33</v>
      </c>
      <c r="B36" s="12" t="s">
        <v>62</v>
      </c>
      <c r="C36" s="12" t="s">
        <v>32</v>
      </c>
      <c r="D36" s="13" t="str">
        <f>IF(OR(TabEmbargos[[#This Row],[Impedida sem Imissão na Posse]]="S",TabEmbargos[[#This Row],[Impedida com Imissão na Posse]]="S"),"E","L")</f>
        <v>E</v>
      </c>
      <c r="E36" s="13" t="str">
        <f>IF(COUNTIF(TabEmbargos[[#This Row],[Embargo Projeto]:[Embargo Meio Ambiente]],"S"),"S","N")</f>
        <v>S</v>
      </c>
      <c r="F36" s="13" t="str">
        <f>IF(AND(TabEmbargos[[#This Row],[Embargo Projeto]]="S",TabEmbargos[[#This Row],[Embargo Fundiário]]="S"),"S","N")</f>
        <v>S</v>
      </c>
      <c r="G36" s="13" t="s">
        <v>21</v>
      </c>
      <c r="H36" s="13" t="s">
        <v>24</v>
      </c>
      <c r="I36" s="13" t="s">
        <v>21</v>
      </c>
      <c r="J36" s="13" t="s">
        <v>24</v>
      </c>
      <c r="K36" s="13" t="s">
        <v>21</v>
      </c>
      <c r="L36" s="13" t="s">
        <v>24</v>
      </c>
      <c r="M36" s="13" t="s">
        <v>21</v>
      </c>
      <c r="N36" s="13" t="s">
        <v>21</v>
      </c>
      <c r="O36" s="13" t="s">
        <v>21</v>
      </c>
    </row>
    <row r="37" spans="1:15" x14ac:dyDescent="0.3">
      <c r="A37" s="11">
        <v>34</v>
      </c>
      <c r="B37" s="12" t="s">
        <v>63</v>
      </c>
      <c r="C37" s="12" t="s">
        <v>32</v>
      </c>
      <c r="D37" s="13" t="str">
        <f>IF(OR(TabEmbargos[[#This Row],[Impedida sem Imissão na Posse]]="S",TabEmbargos[[#This Row],[Impedida com Imissão na Posse]]="S"),"E","L")</f>
        <v>E</v>
      </c>
      <c r="E37" s="13" t="str">
        <f>IF(COUNTIF(TabEmbargos[[#This Row],[Embargo Projeto]:[Embargo Meio Ambiente]],"S"),"S","N")</f>
        <v>S</v>
      </c>
      <c r="F37" s="13" t="str">
        <f>IF(AND(TabEmbargos[[#This Row],[Embargo Projeto]]="S",TabEmbargos[[#This Row],[Embargo Fundiário]]="S"),"S","N")</f>
        <v>S</v>
      </c>
      <c r="G37" s="13" t="s">
        <v>21</v>
      </c>
      <c r="H37" s="13" t="s">
        <v>24</v>
      </c>
      <c r="I37" s="13" t="s">
        <v>21</v>
      </c>
      <c r="J37" s="13" t="s">
        <v>24</v>
      </c>
      <c r="K37" s="13" t="s">
        <v>21</v>
      </c>
      <c r="L37" s="13" t="s">
        <v>24</v>
      </c>
      <c r="M37" s="13" t="s">
        <v>21</v>
      </c>
      <c r="N37" s="13" t="s">
        <v>21</v>
      </c>
      <c r="O37" s="13" t="s">
        <v>21</v>
      </c>
    </row>
    <row r="38" spans="1:15" x14ac:dyDescent="0.3">
      <c r="A38" s="11">
        <v>35</v>
      </c>
      <c r="B38" s="12" t="s">
        <v>64</v>
      </c>
      <c r="C38" s="12" t="s">
        <v>32</v>
      </c>
      <c r="D38" s="13" t="str">
        <f>IF(OR(TabEmbargos[[#This Row],[Impedida sem Imissão na Posse]]="S",TabEmbargos[[#This Row],[Impedida com Imissão na Posse]]="S"),"E","L")</f>
        <v>E</v>
      </c>
      <c r="E38" s="13" t="str">
        <f>IF(COUNTIF(TabEmbargos[[#This Row],[Embargo Projeto]:[Embargo Meio Ambiente]],"S"),"S","N")</f>
        <v>S</v>
      </c>
      <c r="F38" s="13" t="str">
        <f>IF(AND(TabEmbargos[[#This Row],[Embargo Projeto]]="S",TabEmbargos[[#This Row],[Embargo Fundiário]]="S"),"S","N")</f>
        <v>S</v>
      </c>
      <c r="G38" s="13" t="s">
        <v>21</v>
      </c>
      <c r="H38" s="13" t="s">
        <v>24</v>
      </c>
      <c r="I38" s="13" t="s">
        <v>21</v>
      </c>
      <c r="J38" s="13" t="s">
        <v>24</v>
      </c>
      <c r="K38" s="13" t="s">
        <v>21</v>
      </c>
      <c r="L38" s="13" t="s">
        <v>24</v>
      </c>
      <c r="M38" s="13" t="s">
        <v>21</v>
      </c>
      <c r="N38" s="13" t="s">
        <v>21</v>
      </c>
      <c r="O38" s="13" t="s">
        <v>21</v>
      </c>
    </row>
    <row r="39" spans="1:15" x14ac:dyDescent="0.3">
      <c r="A39" s="11">
        <v>36</v>
      </c>
      <c r="B39" s="12" t="s">
        <v>65</v>
      </c>
      <c r="C39" s="12" t="s">
        <v>32</v>
      </c>
      <c r="D39" s="13" t="str">
        <f>IF(OR(TabEmbargos[[#This Row],[Impedida sem Imissão na Posse]]="S",TabEmbargos[[#This Row],[Impedida com Imissão na Posse]]="S"),"E","L")</f>
        <v>E</v>
      </c>
      <c r="E39" s="13" t="str">
        <f>IF(COUNTIF(TabEmbargos[[#This Row],[Embargo Projeto]:[Embargo Meio Ambiente]],"S"),"S","N")</f>
        <v>S</v>
      </c>
      <c r="F39" s="13" t="str">
        <f>IF(AND(TabEmbargos[[#This Row],[Embargo Projeto]]="S",TabEmbargos[[#This Row],[Embargo Fundiário]]="S"),"S","N")</f>
        <v>N</v>
      </c>
      <c r="G39" s="13" t="s">
        <v>21</v>
      </c>
      <c r="H39" s="13" t="s">
        <v>24</v>
      </c>
      <c r="I39" s="13" t="s">
        <v>21</v>
      </c>
      <c r="J39" s="13" t="s">
        <v>21</v>
      </c>
      <c r="K39" s="13" t="s">
        <v>21</v>
      </c>
      <c r="L39" s="13" t="s">
        <v>24</v>
      </c>
      <c r="M39" s="13" t="s">
        <v>21</v>
      </c>
      <c r="N39" s="13" t="s">
        <v>21</v>
      </c>
      <c r="O39" s="13" t="s">
        <v>21</v>
      </c>
    </row>
    <row r="40" spans="1:15" x14ac:dyDescent="0.3">
      <c r="A40" s="11">
        <v>37</v>
      </c>
      <c r="B40" s="12" t="s">
        <v>66</v>
      </c>
      <c r="C40" s="12" t="s">
        <v>30</v>
      </c>
      <c r="D40" s="13" t="str">
        <f>IF(OR(TabEmbargos[[#This Row],[Impedida sem Imissão na Posse]]="S",TabEmbargos[[#This Row],[Impedida com Imissão na Posse]]="S"),"E","L")</f>
        <v>E</v>
      </c>
      <c r="E40" s="13" t="str">
        <f>IF(COUNTIF(TabEmbargos[[#This Row],[Embargo Projeto]:[Embargo Meio Ambiente]],"S"),"S","N")</f>
        <v>S</v>
      </c>
      <c r="F40" s="13" t="str">
        <f>IF(AND(TabEmbargos[[#This Row],[Embargo Projeto]]="S",TabEmbargos[[#This Row],[Embargo Fundiário]]="S"),"S","N")</f>
        <v>N</v>
      </c>
      <c r="G40" s="13" t="s">
        <v>21</v>
      </c>
      <c r="H40" s="13" t="s">
        <v>24</v>
      </c>
      <c r="I40" s="13" t="s">
        <v>21</v>
      </c>
      <c r="J40" s="13" t="s">
        <v>21</v>
      </c>
      <c r="K40" s="13" t="s">
        <v>21</v>
      </c>
      <c r="L40" s="13" t="s">
        <v>24</v>
      </c>
      <c r="M40" s="13" t="s">
        <v>21</v>
      </c>
      <c r="N40" s="13" t="s">
        <v>21</v>
      </c>
      <c r="O40" s="13" t="s">
        <v>21</v>
      </c>
    </row>
    <row r="41" spans="1:15" x14ac:dyDescent="0.3">
      <c r="A41" s="11">
        <v>38</v>
      </c>
      <c r="B41" s="12" t="s">
        <v>67</v>
      </c>
      <c r="C41" s="12" t="s">
        <v>32</v>
      </c>
      <c r="D41" s="13" t="str">
        <f>IF(OR(TabEmbargos[[#This Row],[Impedida sem Imissão na Posse]]="S",TabEmbargos[[#This Row],[Impedida com Imissão na Posse]]="S"),"E","L")</f>
        <v>E</v>
      </c>
      <c r="E41" s="13" t="str">
        <f>IF(COUNTIF(TabEmbargos[[#This Row],[Embargo Projeto]:[Embargo Meio Ambiente]],"S"),"S","N")</f>
        <v>S</v>
      </c>
      <c r="F41" s="13" t="str">
        <f>IF(AND(TabEmbargos[[#This Row],[Embargo Projeto]]="S",TabEmbargos[[#This Row],[Embargo Fundiário]]="S"),"S","N")</f>
        <v>S</v>
      </c>
      <c r="G41" s="13" t="s">
        <v>21</v>
      </c>
      <c r="H41" s="13" t="s">
        <v>24</v>
      </c>
      <c r="I41" s="13" t="s">
        <v>21</v>
      </c>
      <c r="J41" s="13" t="s">
        <v>24</v>
      </c>
      <c r="K41" s="13" t="s">
        <v>21</v>
      </c>
      <c r="L41" s="13" t="s">
        <v>24</v>
      </c>
      <c r="M41" s="13" t="s">
        <v>21</v>
      </c>
      <c r="N41" s="13" t="s">
        <v>21</v>
      </c>
      <c r="O41" s="13" t="s">
        <v>21</v>
      </c>
    </row>
    <row r="42" spans="1:15" x14ac:dyDescent="0.3">
      <c r="A42" s="11">
        <v>39</v>
      </c>
      <c r="B42" s="12" t="s">
        <v>68</v>
      </c>
      <c r="C42" s="12" t="s">
        <v>32</v>
      </c>
      <c r="D42" s="13" t="str">
        <f>IF(OR(TabEmbargos[[#This Row],[Impedida sem Imissão na Posse]]="S",TabEmbargos[[#This Row],[Impedida com Imissão na Posse]]="S"),"E","L")</f>
        <v>E</v>
      </c>
      <c r="E42" s="13" t="str">
        <f>IF(COUNTIF(TabEmbargos[[#This Row],[Embargo Projeto]:[Embargo Meio Ambiente]],"S"),"S","N")</f>
        <v>S</v>
      </c>
      <c r="F42" s="13" t="str">
        <f>IF(AND(TabEmbargos[[#This Row],[Embargo Projeto]]="S",TabEmbargos[[#This Row],[Embargo Fundiário]]="S"),"S","N")</f>
        <v>S</v>
      </c>
      <c r="G42" s="13" t="s">
        <v>21</v>
      </c>
      <c r="H42" s="13" t="s">
        <v>24</v>
      </c>
      <c r="I42" s="13" t="s">
        <v>21</v>
      </c>
      <c r="J42" s="13" t="s">
        <v>24</v>
      </c>
      <c r="K42" s="13" t="s">
        <v>21</v>
      </c>
      <c r="L42" s="13" t="s">
        <v>24</v>
      </c>
      <c r="M42" s="13" t="s">
        <v>21</v>
      </c>
      <c r="N42" s="13" t="s">
        <v>21</v>
      </c>
      <c r="O42" s="13" t="s">
        <v>21</v>
      </c>
    </row>
    <row r="43" spans="1:15" x14ac:dyDescent="0.3">
      <c r="A43" s="11">
        <v>40</v>
      </c>
      <c r="B43" s="12" t="s">
        <v>69</v>
      </c>
      <c r="C43" s="12" t="s">
        <v>32</v>
      </c>
      <c r="D43" s="13" t="str">
        <f>IF(OR(TabEmbargos[[#This Row],[Impedida sem Imissão na Posse]]="S",TabEmbargos[[#This Row],[Impedida com Imissão na Posse]]="S"),"E","L")</f>
        <v>E</v>
      </c>
      <c r="E43" s="13" t="str">
        <f>IF(COUNTIF(TabEmbargos[[#This Row],[Embargo Projeto]:[Embargo Meio Ambiente]],"S"),"S","N")</f>
        <v>S</v>
      </c>
      <c r="F43" s="13" t="str">
        <f>IF(AND(TabEmbargos[[#This Row],[Embargo Projeto]]="S",TabEmbargos[[#This Row],[Embargo Fundiário]]="S"),"S","N")</f>
        <v>N</v>
      </c>
      <c r="G43" s="13" t="s">
        <v>24</v>
      </c>
      <c r="H43" s="13" t="s">
        <v>24</v>
      </c>
      <c r="I43" s="13" t="s">
        <v>21</v>
      </c>
      <c r="J43" s="13" t="s">
        <v>21</v>
      </c>
      <c r="K43" s="13" t="s">
        <v>21</v>
      </c>
      <c r="L43" s="13" t="s">
        <v>24</v>
      </c>
      <c r="M43" s="13" t="s">
        <v>21</v>
      </c>
      <c r="N43" s="13" t="s">
        <v>21</v>
      </c>
      <c r="O43" s="13" t="s">
        <v>21</v>
      </c>
    </row>
    <row r="44" spans="1:15" x14ac:dyDescent="0.3">
      <c r="A44" s="11">
        <v>41</v>
      </c>
      <c r="B44" s="12" t="s">
        <v>70</v>
      </c>
      <c r="C44" s="12" t="s">
        <v>42</v>
      </c>
      <c r="D44" s="13" t="str">
        <f>IF(OR(TabEmbargos[[#This Row],[Impedida sem Imissão na Posse]]="S",TabEmbargos[[#This Row],[Impedida com Imissão na Posse]]="S"),"E","L")</f>
        <v>E</v>
      </c>
      <c r="E44" s="13" t="str">
        <f>IF(COUNTIF(TabEmbargos[[#This Row],[Embargo Projeto]:[Embargo Meio Ambiente]],"S"),"S","N")</f>
        <v>S</v>
      </c>
      <c r="F44" s="13" t="str">
        <f>IF(AND(TabEmbargos[[#This Row],[Embargo Projeto]]="S",TabEmbargos[[#This Row],[Embargo Fundiário]]="S"),"S","N")</f>
        <v>N</v>
      </c>
      <c r="G44" s="13" t="s">
        <v>24</v>
      </c>
      <c r="H44" s="13" t="s">
        <v>24</v>
      </c>
      <c r="I44" s="13" t="s">
        <v>21</v>
      </c>
      <c r="J44" s="13" t="s">
        <v>21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</row>
    <row r="45" spans="1:15" x14ac:dyDescent="0.3">
      <c r="A45" s="11">
        <v>42</v>
      </c>
      <c r="B45" s="12" t="s">
        <v>71</v>
      </c>
      <c r="C45" s="12" t="s">
        <v>72</v>
      </c>
      <c r="D45" s="13" t="str">
        <f>IF(OR(TabEmbargos[[#This Row],[Impedida sem Imissão na Posse]]="S",TabEmbargos[[#This Row],[Impedida com Imissão na Posse]]="S"),"E","L")</f>
        <v>L</v>
      </c>
      <c r="E45" s="13" t="str">
        <f>IF(COUNTIF(TabEmbargos[[#This Row],[Embargo Projeto]:[Embargo Meio Ambiente]],"S"),"S","N")</f>
        <v>N</v>
      </c>
      <c r="F45" s="13" t="str">
        <f>IF(AND(TabEmbargos[[#This Row],[Embargo Projeto]]="S",TabEmbargos[[#This Row],[Embargo Fundiário]]="S"),"S","N")</f>
        <v>N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</row>
    <row r="46" spans="1:15" x14ac:dyDescent="0.3">
      <c r="A46" s="11">
        <v>43</v>
      </c>
      <c r="B46" s="12" t="s">
        <v>73</v>
      </c>
      <c r="C46" s="12" t="s">
        <v>42</v>
      </c>
      <c r="D46" s="13" t="str">
        <f>IF(OR(TabEmbargos[[#This Row],[Impedida sem Imissão na Posse]]="S",TabEmbargos[[#This Row],[Impedida com Imissão na Posse]]="S"),"E","L")</f>
        <v>L</v>
      </c>
      <c r="E46" s="13" t="str">
        <f>IF(COUNTIF(TabEmbargos[[#This Row],[Embargo Projeto]:[Embargo Meio Ambiente]],"S"),"S","N")</f>
        <v>N</v>
      </c>
      <c r="F46" s="13" t="str">
        <f>IF(AND(TabEmbargos[[#This Row],[Embargo Projeto]]="S",TabEmbargos[[#This Row],[Embargo Fundiário]]="S"),"S","N")</f>
        <v>N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</row>
    <row r="47" spans="1:15" x14ac:dyDescent="0.3">
      <c r="A47" s="11">
        <v>44</v>
      </c>
      <c r="B47" s="12" t="s">
        <v>74</v>
      </c>
      <c r="C47" s="12" t="s">
        <v>32</v>
      </c>
      <c r="D47" s="13" t="str">
        <f>IF(OR(TabEmbargos[[#This Row],[Impedida sem Imissão na Posse]]="S",TabEmbargos[[#This Row],[Impedida com Imissão na Posse]]="S"),"E","L")</f>
        <v>L</v>
      </c>
      <c r="E47" s="13" t="str">
        <f>IF(COUNTIF(TabEmbargos[[#This Row],[Embargo Projeto]:[Embargo Meio Ambiente]],"S"),"S","N")</f>
        <v>N</v>
      </c>
      <c r="F47" s="13" t="str">
        <f>IF(AND(TabEmbargos[[#This Row],[Embargo Projeto]]="S",TabEmbargos[[#This Row],[Embargo Fundiário]]="S"),"S","N")</f>
        <v>N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</row>
    <row r="48" spans="1:15" x14ac:dyDescent="0.3">
      <c r="A48" s="11">
        <v>45</v>
      </c>
      <c r="B48" s="12" t="s">
        <v>75</v>
      </c>
      <c r="C48" s="12" t="s">
        <v>42</v>
      </c>
      <c r="D48" s="13" t="str">
        <f>IF(OR(TabEmbargos[[#This Row],[Impedida sem Imissão na Posse]]="S",TabEmbargos[[#This Row],[Impedida com Imissão na Posse]]="S"),"E","L")</f>
        <v>E</v>
      </c>
      <c r="E48" s="13" t="str">
        <f>IF(COUNTIF(TabEmbargos[[#This Row],[Embargo Projeto]:[Embargo Meio Ambiente]],"S"),"S","N")</f>
        <v>S</v>
      </c>
      <c r="F48" s="13" t="str">
        <f>IF(AND(TabEmbargos[[#This Row],[Embargo Projeto]]="S",TabEmbargos[[#This Row],[Embargo Fundiário]]="S"),"S","N")</f>
        <v>N</v>
      </c>
      <c r="G48" s="13" t="s">
        <v>21</v>
      </c>
      <c r="H48" s="13" t="s">
        <v>21</v>
      </c>
      <c r="I48" s="13" t="s">
        <v>21</v>
      </c>
      <c r="J48" s="13" t="s">
        <v>24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</row>
    <row r="49" spans="1:15" x14ac:dyDescent="0.3">
      <c r="A49" s="11">
        <v>46</v>
      </c>
      <c r="B49" s="12" t="s">
        <v>76</v>
      </c>
      <c r="C49" s="12" t="s">
        <v>30</v>
      </c>
      <c r="D49" s="13" t="str">
        <f>IF(OR(TabEmbargos[[#This Row],[Impedida sem Imissão na Posse]]="S",TabEmbargos[[#This Row],[Impedida com Imissão na Posse]]="S"),"E","L")</f>
        <v>E</v>
      </c>
      <c r="E49" s="13" t="str">
        <f>IF(COUNTIF(TabEmbargos[[#This Row],[Embargo Projeto]:[Embargo Meio Ambiente]],"S"),"S","N")</f>
        <v>S</v>
      </c>
      <c r="F49" s="13" t="str">
        <f>IF(AND(TabEmbargos[[#This Row],[Embargo Projeto]]="S",TabEmbargos[[#This Row],[Embargo Fundiário]]="S"),"S","N")</f>
        <v>S</v>
      </c>
      <c r="G49" s="13" t="s">
        <v>21</v>
      </c>
      <c r="H49" s="13" t="s">
        <v>24</v>
      </c>
      <c r="I49" s="13" t="s">
        <v>21</v>
      </c>
      <c r="J49" s="13" t="s">
        <v>24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</row>
    <row r="50" spans="1:15" x14ac:dyDescent="0.3">
      <c r="A50" s="11">
        <v>47</v>
      </c>
      <c r="B50" s="12" t="s">
        <v>77</v>
      </c>
      <c r="C50" s="12" t="s">
        <v>30</v>
      </c>
      <c r="D50" s="13" t="str">
        <f>IF(OR(TabEmbargos[[#This Row],[Impedida sem Imissão na Posse]]="S",TabEmbargos[[#This Row],[Impedida com Imissão na Posse]]="S"),"E","L")</f>
        <v>E</v>
      </c>
      <c r="E50" s="13" t="str">
        <f>IF(COUNTIF(TabEmbargos[[#This Row],[Embargo Projeto]:[Embargo Meio Ambiente]],"S"),"S","N")</f>
        <v>S</v>
      </c>
      <c r="F50" s="13" t="str">
        <f>IF(AND(TabEmbargos[[#This Row],[Embargo Projeto]]="S",TabEmbargos[[#This Row],[Embargo Fundiário]]="S"),"S","N")</f>
        <v>S</v>
      </c>
      <c r="G50" s="13" t="s">
        <v>21</v>
      </c>
      <c r="H50" s="13" t="s">
        <v>24</v>
      </c>
      <c r="I50" s="13" t="s">
        <v>21</v>
      </c>
      <c r="J50" s="13" t="s">
        <v>24</v>
      </c>
      <c r="K50" s="13" t="s">
        <v>21</v>
      </c>
      <c r="L50" s="13" t="s">
        <v>24</v>
      </c>
      <c r="M50" s="13" t="s">
        <v>21</v>
      </c>
      <c r="N50" s="13" t="s">
        <v>21</v>
      </c>
      <c r="O50" s="13" t="s">
        <v>21</v>
      </c>
    </row>
    <row r="51" spans="1:15" x14ac:dyDescent="0.3">
      <c r="A51" s="11">
        <v>48</v>
      </c>
      <c r="B51" s="12" t="s">
        <v>78</v>
      </c>
      <c r="C51" s="12" t="s">
        <v>26</v>
      </c>
      <c r="D51" s="13" t="str">
        <f>IF(OR(TabEmbargos[[#This Row],[Impedida sem Imissão na Posse]]="S",TabEmbargos[[#This Row],[Impedida com Imissão na Posse]]="S"),"E","L")</f>
        <v>E</v>
      </c>
      <c r="E51" s="13" t="str">
        <f>IF(COUNTIF(TabEmbargos[[#This Row],[Embargo Projeto]:[Embargo Meio Ambiente]],"S"),"S","N")</f>
        <v>S</v>
      </c>
      <c r="F51" s="13" t="str">
        <f>IF(AND(TabEmbargos[[#This Row],[Embargo Projeto]]="S",TabEmbargos[[#This Row],[Embargo Fundiário]]="S"),"S","N")</f>
        <v>N</v>
      </c>
      <c r="G51" s="13" t="s">
        <v>21</v>
      </c>
      <c r="H51" s="13" t="s">
        <v>24</v>
      </c>
      <c r="I51" s="13" t="s">
        <v>21</v>
      </c>
      <c r="J51" s="13" t="s">
        <v>21</v>
      </c>
      <c r="K51" s="13" t="s">
        <v>21</v>
      </c>
      <c r="L51" s="13" t="s">
        <v>24</v>
      </c>
      <c r="M51" s="13" t="s">
        <v>21</v>
      </c>
      <c r="N51" s="13" t="s">
        <v>21</v>
      </c>
      <c r="O51" s="13" t="s">
        <v>21</v>
      </c>
    </row>
    <row r="52" spans="1:15" x14ac:dyDescent="0.3">
      <c r="A52" s="11">
        <v>49</v>
      </c>
      <c r="B52" s="12" t="s">
        <v>79</v>
      </c>
      <c r="C52" s="12" t="s">
        <v>30</v>
      </c>
      <c r="D52" s="13" t="str">
        <f>IF(OR(TabEmbargos[[#This Row],[Impedida sem Imissão na Posse]]="S",TabEmbargos[[#This Row],[Impedida com Imissão na Posse]]="S"),"E","L")</f>
        <v>E</v>
      </c>
      <c r="E52" s="13" t="str">
        <f>IF(COUNTIF(TabEmbargos[[#This Row],[Embargo Projeto]:[Embargo Meio Ambiente]],"S"),"S","N")</f>
        <v>S</v>
      </c>
      <c r="F52" s="13" t="str">
        <f>IF(AND(TabEmbargos[[#This Row],[Embargo Projeto]]="S",TabEmbargos[[#This Row],[Embargo Fundiário]]="S"),"S","N")</f>
        <v>N</v>
      </c>
      <c r="G52" s="13" t="s">
        <v>21</v>
      </c>
      <c r="H52" s="13" t="s">
        <v>24</v>
      </c>
      <c r="I52" s="13" t="s">
        <v>21</v>
      </c>
      <c r="J52" s="13" t="s">
        <v>21</v>
      </c>
      <c r="K52" s="13" t="s">
        <v>21</v>
      </c>
      <c r="L52" s="13" t="s">
        <v>21</v>
      </c>
      <c r="M52" s="13" t="s">
        <v>21</v>
      </c>
      <c r="N52" s="13" t="s">
        <v>21</v>
      </c>
      <c r="O52" s="13" t="s">
        <v>21</v>
      </c>
    </row>
    <row r="53" spans="1:15" x14ac:dyDescent="0.3">
      <c r="A53" s="11">
        <v>50</v>
      </c>
      <c r="B53" s="12" t="s">
        <v>80</v>
      </c>
      <c r="C53" s="12" t="s">
        <v>32</v>
      </c>
      <c r="D53" s="13" t="str">
        <f>IF(OR(TabEmbargos[[#This Row],[Impedida sem Imissão na Posse]]="S",TabEmbargos[[#This Row],[Impedida com Imissão na Posse]]="S"),"E","L")</f>
        <v>L</v>
      </c>
      <c r="E53" s="13" t="str">
        <f>IF(COUNTIF(TabEmbargos[[#This Row],[Embargo Projeto]:[Embargo Meio Ambiente]],"S"),"S","N")</f>
        <v>N</v>
      </c>
      <c r="F53" s="13" t="str">
        <f>IF(AND(TabEmbargos[[#This Row],[Embargo Projeto]]="S",TabEmbargos[[#This Row],[Embargo Fundiário]]="S"),"S","N")</f>
        <v>N</v>
      </c>
      <c r="G53" s="13" t="s">
        <v>21</v>
      </c>
      <c r="H53" s="13" t="s">
        <v>21</v>
      </c>
      <c r="I53" s="13" t="s">
        <v>21</v>
      </c>
      <c r="J53" s="13" t="s">
        <v>21</v>
      </c>
      <c r="K53" s="13" t="s">
        <v>21</v>
      </c>
      <c r="L53" s="13" t="s">
        <v>21</v>
      </c>
      <c r="M53" s="13" t="s">
        <v>21</v>
      </c>
      <c r="N53" s="13" t="s">
        <v>21</v>
      </c>
      <c r="O53" s="13" t="s">
        <v>21</v>
      </c>
    </row>
    <row r="54" spans="1:15" x14ac:dyDescent="0.3">
      <c r="A54" s="11">
        <v>51</v>
      </c>
      <c r="B54" s="12" t="s">
        <v>81</v>
      </c>
      <c r="C54" s="12" t="s">
        <v>32</v>
      </c>
      <c r="D54" s="13" t="str">
        <f>IF(OR(TabEmbargos[[#This Row],[Impedida sem Imissão na Posse]]="S",TabEmbargos[[#This Row],[Impedida com Imissão na Posse]]="S"),"E","L")</f>
        <v>L</v>
      </c>
      <c r="E54" s="13" t="str">
        <f>IF(COUNTIF(TabEmbargos[[#This Row],[Embargo Projeto]:[Embargo Meio Ambiente]],"S"),"S","N")</f>
        <v>N</v>
      </c>
      <c r="F54" s="13" t="str">
        <f>IF(AND(TabEmbargos[[#This Row],[Embargo Projeto]]="S",TabEmbargos[[#This Row],[Embargo Fundiário]]="S"),"S","N")</f>
        <v>N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</row>
    <row r="55" spans="1:15" x14ac:dyDescent="0.3">
      <c r="A55" s="11">
        <v>52</v>
      </c>
      <c r="B55" s="12" t="s">
        <v>82</v>
      </c>
      <c r="C55" s="12" t="s">
        <v>32</v>
      </c>
      <c r="D55" s="13" t="str">
        <f>IF(OR(TabEmbargos[[#This Row],[Impedida sem Imissão na Posse]]="S",TabEmbargos[[#This Row],[Impedida com Imissão na Posse]]="S"),"E","L")</f>
        <v>L</v>
      </c>
      <c r="E55" s="13" t="str">
        <f>IF(COUNTIF(TabEmbargos[[#This Row],[Embargo Projeto]:[Embargo Meio Ambiente]],"S"),"S","N")</f>
        <v>N</v>
      </c>
      <c r="F55" s="13" t="str">
        <f>IF(AND(TabEmbargos[[#This Row],[Embargo Projeto]]="S",TabEmbargos[[#This Row],[Embargo Fundiário]]="S"),"S","N")</f>
        <v>N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</row>
    <row r="56" spans="1:15" x14ac:dyDescent="0.3">
      <c r="A56" s="11">
        <v>53</v>
      </c>
      <c r="B56" s="12" t="s">
        <v>83</v>
      </c>
      <c r="C56" s="12" t="s">
        <v>37</v>
      </c>
      <c r="D56" s="13" t="str">
        <f>IF(OR(TabEmbargos[[#This Row],[Impedida sem Imissão na Posse]]="S",TabEmbargos[[#This Row],[Impedida com Imissão na Posse]]="S"),"E","L")</f>
        <v>L</v>
      </c>
      <c r="E56" s="13" t="str">
        <f>IF(COUNTIF(TabEmbargos[[#This Row],[Embargo Projeto]:[Embargo Meio Ambiente]],"S"),"S","N")</f>
        <v>N</v>
      </c>
      <c r="F56" s="13" t="str">
        <f>IF(AND(TabEmbargos[[#This Row],[Embargo Projeto]]="S",TabEmbargos[[#This Row],[Embargo Fundiário]]="S"),"S","N")</f>
        <v>N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</row>
    <row r="57" spans="1:15" x14ac:dyDescent="0.3">
      <c r="A57" s="11">
        <v>54</v>
      </c>
      <c r="B57" s="12" t="s">
        <v>84</v>
      </c>
      <c r="C57" s="12" t="s">
        <v>32</v>
      </c>
      <c r="D57" s="13" t="str">
        <f>IF(OR(TabEmbargos[[#This Row],[Impedida sem Imissão na Posse]]="S",TabEmbargos[[#This Row],[Impedida com Imissão na Posse]]="S"),"E","L")</f>
        <v>L</v>
      </c>
      <c r="E57" s="13" t="str">
        <f>IF(COUNTIF(TabEmbargos[[#This Row],[Embargo Projeto]:[Embargo Meio Ambiente]],"S"),"S","N")</f>
        <v>N</v>
      </c>
      <c r="F57" s="13" t="str">
        <f>IF(AND(TabEmbargos[[#This Row],[Embargo Projeto]]="S",TabEmbargos[[#This Row],[Embargo Fundiário]]="S"),"S","N")</f>
        <v>N</v>
      </c>
      <c r="G57" s="13" t="s">
        <v>24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</row>
    <row r="58" spans="1:15" x14ac:dyDescent="0.3">
      <c r="A58" s="11">
        <v>55</v>
      </c>
      <c r="B58" s="12" t="s">
        <v>85</v>
      </c>
      <c r="C58" s="12" t="s">
        <v>26</v>
      </c>
      <c r="D58" s="13" t="str">
        <f>IF(OR(TabEmbargos[[#This Row],[Impedida sem Imissão na Posse]]="S",TabEmbargos[[#This Row],[Impedida com Imissão na Posse]]="S"),"E","L")</f>
        <v>L</v>
      </c>
      <c r="E58" s="13" t="str">
        <f>IF(COUNTIF(TabEmbargos[[#This Row],[Embargo Projeto]:[Embargo Meio Ambiente]],"S"),"S","N")</f>
        <v>N</v>
      </c>
      <c r="F58" s="13" t="str">
        <f>IF(AND(TabEmbargos[[#This Row],[Embargo Projeto]]="S",TabEmbargos[[#This Row],[Embargo Fundiário]]="S"),"S","N")</f>
        <v>N</v>
      </c>
      <c r="G58" s="13" t="s">
        <v>24</v>
      </c>
      <c r="H58" s="13" t="s">
        <v>21</v>
      </c>
      <c r="I58" s="13" t="s">
        <v>21</v>
      </c>
      <c r="J58" s="13" t="s">
        <v>21</v>
      </c>
      <c r="K58" s="13" t="s">
        <v>21</v>
      </c>
      <c r="L58" s="13" t="s">
        <v>21</v>
      </c>
      <c r="M58" s="13" t="s">
        <v>21</v>
      </c>
      <c r="N58" s="13" t="s">
        <v>21</v>
      </c>
      <c r="O58" s="13" t="s">
        <v>21</v>
      </c>
    </row>
    <row r="59" spans="1:15" x14ac:dyDescent="0.3">
      <c r="A59" s="11">
        <v>56</v>
      </c>
      <c r="B59" s="12" t="s">
        <v>86</v>
      </c>
      <c r="C59" s="12" t="s">
        <v>32</v>
      </c>
      <c r="D59" s="13" t="str">
        <f>IF(OR(TabEmbargos[[#This Row],[Impedida sem Imissão na Posse]]="S",TabEmbargos[[#This Row],[Impedida com Imissão na Posse]]="S"),"E","L")</f>
        <v>L</v>
      </c>
      <c r="E59" s="13" t="str">
        <f>IF(COUNTIF(TabEmbargos[[#This Row],[Embargo Projeto]:[Embargo Meio Ambiente]],"S"),"S","N")</f>
        <v>N</v>
      </c>
      <c r="F59" s="13" t="str">
        <f>IF(AND(TabEmbargos[[#This Row],[Embargo Projeto]]="S",TabEmbargos[[#This Row],[Embargo Fundiário]]="S"),"S","N")</f>
        <v>N</v>
      </c>
      <c r="G59" s="13" t="s">
        <v>21</v>
      </c>
      <c r="H59" s="13" t="s">
        <v>21</v>
      </c>
      <c r="I59" s="13" t="s">
        <v>21</v>
      </c>
      <c r="J59" s="13" t="s">
        <v>21</v>
      </c>
      <c r="K59" s="13" t="s">
        <v>21</v>
      </c>
      <c r="L59" s="13" t="s">
        <v>21</v>
      </c>
      <c r="M59" s="13" t="s">
        <v>21</v>
      </c>
      <c r="N59" s="13" t="s">
        <v>21</v>
      </c>
      <c r="O59" s="13" t="s">
        <v>21</v>
      </c>
    </row>
    <row r="60" spans="1:15" x14ac:dyDescent="0.3">
      <c r="A60" s="11">
        <v>57</v>
      </c>
      <c r="B60" s="12" t="s">
        <v>87</v>
      </c>
      <c r="C60" s="12" t="s">
        <v>32</v>
      </c>
      <c r="D60" s="13" t="str">
        <f>IF(OR(TabEmbargos[[#This Row],[Impedida sem Imissão na Posse]]="S",TabEmbargos[[#This Row],[Impedida com Imissão na Posse]]="S"),"E","L")</f>
        <v>E</v>
      </c>
      <c r="E60" s="13" t="str">
        <f>IF(COUNTIF(TabEmbargos[[#This Row],[Embargo Projeto]:[Embargo Meio Ambiente]],"S"),"S","N")</f>
        <v>S</v>
      </c>
      <c r="F60" s="13" t="str">
        <f>IF(AND(TabEmbargos[[#This Row],[Embargo Projeto]]="S",TabEmbargos[[#This Row],[Embargo Fundiário]]="S"),"S","N")</f>
        <v>N</v>
      </c>
      <c r="G60" s="13" t="s">
        <v>21</v>
      </c>
      <c r="H60" s="13" t="s">
        <v>21</v>
      </c>
      <c r="I60" s="13" t="s">
        <v>21</v>
      </c>
      <c r="J60" s="13" t="s">
        <v>24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</row>
    <row r="61" spans="1:15" x14ac:dyDescent="0.3">
      <c r="A61" s="11">
        <v>58</v>
      </c>
      <c r="B61" s="12" t="s">
        <v>88</v>
      </c>
      <c r="C61" s="12" t="s">
        <v>37</v>
      </c>
      <c r="D61" s="13" t="str">
        <f>IF(OR(TabEmbargos[[#This Row],[Impedida sem Imissão na Posse]]="S",TabEmbargos[[#This Row],[Impedida com Imissão na Posse]]="S"),"E","L")</f>
        <v>E</v>
      </c>
      <c r="E61" s="13" t="str">
        <f>IF(COUNTIF(TabEmbargos[[#This Row],[Embargo Projeto]:[Embargo Meio Ambiente]],"S"),"S","N")</f>
        <v>S</v>
      </c>
      <c r="F61" s="13" t="str">
        <f>IF(AND(TabEmbargos[[#This Row],[Embargo Projeto]]="S",TabEmbargos[[#This Row],[Embargo Fundiário]]="S"),"S","N")</f>
        <v>N</v>
      </c>
      <c r="G61" s="13" t="s">
        <v>21</v>
      </c>
      <c r="H61" s="13" t="s">
        <v>21</v>
      </c>
      <c r="I61" s="13" t="s">
        <v>21</v>
      </c>
      <c r="J61" s="13" t="s">
        <v>24</v>
      </c>
      <c r="K61" s="13" t="s">
        <v>21</v>
      </c>
      <c r="L61" s="13" t="s">
        <v>21</v>
      </c>
      <c r="M61" s="13" t="s">
        <v>21</v>
      </c>
      <c r="N61" s="13" t="s">
        <v>21</v>
      </c>
      <c r="O61" s="13" t="s">
        <v>21</v>
      </c>
    </row>
    <row r="62" spans="1:15" x14ac:dyDescent="0.3">
      <c r="A62" s="11">
        <v>59</v>
      </c>
      <c r="B62" s="12" t="s">
        <v>89</v>
      </c>
      <c r="C62" s="12" t="s">
        <v>37</v>
      </c>
      <c r="D62" s="13" t="str">
        <f>IF(OR(TabEmbargos[[#This Row],[Impedida sem Imissão na Posse]]="S",TabEmbargos[[#This Row],[Impedida com Imissão na Posse]]="S"),"E","L")</f>
        <v>E</v>
      </c>
      <c r="E62" s="13" t="str">
        <f>IF(COUNTIF(TabEmbargos[[#This Row],[Embargo Projeto]:[Embargo Meio Ambiente]],"S"),"S","N")</f>
        <v>S</v>
      </c>
      <c r="F62" s="13" t="str">
        <f>IF(AND(TabEmbargos[[#This Row],[Embargo Projeto]]="S",TabEmbargos[[#This Row],[Embargo Fundiário]]="S"),"S","N")</f>
        <v>S</v>
      </c>
      <c r="G62" s="13" t="s">
        <v>21</v>
      </c>
      <c r="H62" s="13" t="s">
        <v>24</v>
      </c>
      <c r="I62" s="13" t="s">
        <v>21</v>
      </c>
      <c r="J62" s="13" t="s">
        <v>24</v>
      </c>
      <c r="K62" s="13" t="s">
        <v>21</v>
      </c>
      <c r="L62" s="13" t="s">
        <v>21</v>
      </c>
      <c r="M62" s="13" t="s">
        <v>21</v>
      </c>
      <c r="N62" s="13" t="s">
        <v>21</v>
      </c>
      <c r="O62" s="13" t="s">
        <v>21</v>
      </c>
    </row>
    <row r="63" spans="1:15" x14ac:dyDescent="0.3">
      <c r="A63" s="11">
        <v>60</v>
      </c>
      <c r="B63" s="12" t="s">
        <v>90</v>
      </c>
      <c r="C63" s="12" t="s">
        <v>32</v>
      </c>
      <c r="D63" s="13" t="str">
        <f>IF(OR(TabEmbargos[[#This Row],[Impedida sem Imissão na Posse]]="S",TabEmbargos[[#This Row],[Impedida com Imissão na Posse]]="S"),"E","L")</f>
        <v>E</v>
      </c>
      <c r="E63" s="13" t="str">
        <f>IF(COUNTIF(TabEmbargos[[#This Row],[Embargo Projeto]:[Embargo Meio Ambiente]],"S"),"S","N")</f>
        <v>S</v>
      </c>
      <c r="F63" s="13" t="str">
        <f>IF(AND(TabEmbargos[[#This Row],[Embargo Projeto]]="S",TabEmbargos[[#This Row],[Embargo Fundiário]]="S"),"S","N")</f>
        <v>S</v>
      </c>
      <c r="G63" s="13" t="s">
        <v>21</v>
      </c>
      <c r="H63" s="13" t="s">
        <v>24</v>
      </c>
      <c r="I63" s="13" t="s">
        <v>21</v>
      </c>
      <c r="J63" s="13" t="s">
        <v>24</v>
      </c>
      <c r="K63" s="13" t="s">
        <v>21</v>
      </c>
      <c r="L63" s="13" t="s">
        <v>21</v>
      </c>
      <c r="M63" s="13" t="s">
        <v>21</v>
      </c>
      <c r="N63" s="13" t="s">
        <v>21</v>
      </c>
      <c r="O63" s="13" t="s">
        <v>21</v>
      </c>
    </row>
    <row r="64" spans="1:15" x14ac:dyDescent="0.3">
      <c r="A64" s="11">
        <v>61</v>
      </c>
      <c r="B64" s="12" t="s">
        <v>91</v>
      </c>
      <c r="C64" s="12" t="s">
        <v>32</v>
      </c>
      <c r="D64" s="13" t="str">
        <f>IF(OR(TabEmbargos[[#This Row],[Impedida sem Imissão na Posse]]="S",TabEmbargos[[#This Row],[Impedida com Imissão na Posse]]="S"),"E","L")</f>
        <v>L</v>
      </c>
      <c r="E64" s="13" t="str">
        <f>IF(COUNTIF(TabEmbargos[[#This Row],[Embargo Projeto]:[Embargo Meio Ambiente]],"S"),"S","N")</f>
        <v>N</v>
      </c>
      <c r="F64" s="13" t="str">
        <f>IF(AND(TabEmbargos[[#This Row],[Embargo Projeto]]="S",TabEmbargos[[#This Row],[Embargo Fundiário]]="S"),"S","N")</f>
        <v>N</v>
      </c>
      <c r="G64" s="13" t="s">
        <v>24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</row>
    <row r="65" spans="1:15" x14ac:dyDescent="0.3">
      <c r="A65" s="11">
        <v>62</v>
      </c>
      <c r="B65" s="12" t="s">
        <v>92</v>
      </c>
      <c r="C65" s="12" t="s">
        <v>42</v>
      </c>
      <c r="D65" s="13" t="str">
        <f>IF(OR(TabEmbargos[[#This Row],[Impedida sem Imissão na Posse]]="S",TabEmbargos[[#This Row],[Impedida com Imissão na Posse]]="S"),"E","L")</f>
        <v>L</v>
      </c>
      <c r="E65" s="13" t="str">
        <f>IF(COUNTIF(TabEmbargos[[#This Row],[Embargo Projeto]:[Embargo Meio Ambiente]],"S"),"S","N")</f>
        <v>N</v>
      </c>
      <c r="F65" s="13" t="str">
        <f>IF(AND(TabEmbargos[[#This Row],[Embargo Projeto]]="S",TabEmbargos[[#This Row],[Embargo Fundiário]]="S"),"S","N")</f>
        <v>N</v>
      </c>
      <c r="G65" s="13" t="s">
        <v>24</v>
      </c>
      <c r="H65" s="13" t="s">
        <v>21</v>
      </c>
      <c r="I65" s="13" t="s">
        <v>21</v>
      </c>
      <c r="J65" s="13" t="s">
        <v>21</v>
      </c>
      <c r="K65" s="13" t="s">
        <v>21</v>
      </c>
      <c r="L65" s="13" t="s">
        <v>21</v>
      </c>
      <c r="M65" s="13" t="s">
        <v>21</v>
      </c>
      <c r="N65" s="13" t="s">
        <v>21</v>
      </c>
      <c r="O65" s="13" t="s">
        <v>21</v>
      </c>
    </row>
    <row r="66" spans="1:15" x14ac:dyDescent="0.3">
      <c r="A66" s="11">
        <v>63</v>
      </c>
      <c r="B66" s="12" t="s">
        <v>93</v>
      </c>
      <c r="C66" s="12" t="s">
        <v>72</v>
      </c>
      <c r="D66" s="13" t="str">
        <f>IF(OR(TabEmbargos[[#This Row],[Impedida sem Imissão na Posse]]="S",TabEmbargos[[#This Row],[Impedida com Imissão na Posse]]="S"),"E","L")</f>
        <v>L</v>
      </c>
      <c r="E66" s="13" t="str">
        <f>IF(COUNTIF(TabEmbargos[[#This Row],[Embargo Projeto]:[Embargo Meio Ambiente]],"S"),"S","N")</f>
        <v>N</v>
      </c>
      <c r="F66" s="13" t="str">
        <f>IF(AND(TabEmbargos[[#This Row],[Embargo Projeto]]="S",TabEmbargos[[#This Row],[Embargo Fundiário]]="S"),"S","N")</f>
        <v>N</v>
      </c>
      <c r="G66" s="13" t="s">
        <v>24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</row>
    <row r="67" spans="1:15" x14ac:dyDescent="0.3">
      <c r="A67" s="11">
        <v>64</v>
      </c>
      <c r="B67" s="12" t="s">
        <v>94</v>
      </c>
      <c r="C67" s="12" t="s">
        <v>72</v>
      </c>
      <c r="D67" s="13" t="str">
        <f>IF(OR(TabEmbargos[[#This Row],[Impedida sem Imissão na Posse]]="S",TabEmbargos[[#This Row],[Impedida com Imissão na Posse]]="S"),"E","L")</f>
        <v>L</v>
      </c>
      <c r="E67" s="13" t="str">
        <f>IF(COUNTIF(TabEmbargos[[#This Row],[Embargo Projeto]:[Embargo Meio Ambiente]],"S"),"S","N")</f>
        <v>N</v>
      </c>
      <c r="F67" s="13" t="str">
        <f>IF(AND(TabEmbargos[[#This Row],[Embargo Projeto]]="S",TabEmbargos[[#This Row],[Embargo Fundiário]]="S"),"S","N")</f>
        <v>N</v>
      </c>
      <c r="G67" s="13" t="s">
        <v>24</v>
      </c>
      <c r="H67" s="13" t="s">
        <v>21</v>
      </c>
      <c r="I67" s="13" t="s">
        <v>21</v>
      </c>
      <c r="J67" s="13" t="s">
        <v>21</v>
      </c>
      <c r="K67" s="13" t="s">
        <v>21</v>
      </c>
      <c r="L67" s="13" t="s">
        <v>21</v>
      </c>
      <c r="M67" s="13" t="s">
        <v>21</v>
      </c>
      <c r="N67" s="13" t="s">
        <v>21</v>
      </c>
      <c r="O67" s="13" t="s">
        <v>21</v>
      </c>
    </row>
    <row r="68" spans="1:15" x14ac:dyDescent="0.3">
      <c r="A68" s="11">
        <v>65</v>
      </c>
      <c r="B68" s="12" t="s">
        <v>95</v>
      </c>
      <c r="C68" s="12" t="s">
        <v>32</v>
      </c>
      <c r="D68" s="13" t="str">
        <f>IF(OR(TabEmbargos[[#This Row],[Impedida sem Imissão na Posse]]="S",TabEmbargos[[#This Row],[Impedida com Imissão na Posse]]="S"),"E","L")</f>
        <v>E</v>
      </c>
      <c r="E68" s="13" t="str">
        <f>IF(COUNTIF(TabEmbargos[[#This Row],[Embargo Projeto]:[Embargo Meio Ambiente]],"S"),"S","N")</f>
        <v>S</v>
      </c>
      <c r="F68" s="13" t="str">
        <f>IF(AND(TabEmbargos[[#This Row],[Embargo Projeto]]="S",TabEmbargos[[#This Row],[Embargo Fundiário]]="S"),"S","N")</f>
        <v>N</v>
      </c>
      <c r="G68" s="13" t="s">
        <v>21</v>
      </c>
      <c r="H68" s="13" t="s">
        <v>21</v>
      </c>
      <c r="I68" s="13" t="s">
        <v>21</v>
      </c>
      <c r="J68" s="13" t="s">
        <v>24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</row>
    <row r="69" spans="1:15" x14ac:dyDescent="0.3">
      <c r="A69" s="11">
        <v>66</v>
      </c>
      <c r="B69" s="12" t="s">
        <v>96</v>
      </c>
      <c r="C69" s="12" t="s">
        <v>37</v>
      </c>
      <c r="D69" s="13" t="str">
        <f>IF(OR(TabEmbargos[[#This Row],[Impedida sem Imissão na Posse]]="S",TabEmbargos[[#This Row],[Impedida com Imissão na Posse]]="S"),"E","L")</f>
        <v>L</v>
      </c>
      <c r="E69" s="13" t="str">
        <f>IF(COUNTIF(TabEmbargos[[#This Row],[Embargo Projeto]:[Embargo Meio Ambiente]],"S"),"S","N")</f>
        <v>N</v>
      </c>
      <c r="F69" s="13" t="str">
        <f>IF(AND(TabEmbargos[[#This Row],[Embargo Projeto]]="S",TabEmbargos[[#This Row],[Embargo Fundiário]]="S"),"S","N")</f>
        <v>N</v>
      </c>
      <c r="G69" s="13" t="s">
        <v>24</v>
      </c>
      <c r="H69" s="13" t="s">
        <v>21</v>
      </c>
      <c r="I69" s="13" t="s">
        <v>21</v>
      </c>
      <c r="J69" s="13" t="s">
        <v>21</v>
      </c>
      <c r="K69" s="13" t="s">
        <v>21</v>
      </c>
      <c r="L69" s="13" t="s">
        <v>21</v>
      </c>
      <c r="M69" s="13" t="s">
        <v>21</v>
      </c>
      <c r="N69" s="13" t="s">
        <v>21</v>
      </c>
      <c r="O69" s="13" t="s">
        <v>21</v>
      </c>
    </row>
    <row r="70" spans="1:15" x14ac:dyDescent="0.3">
      <c r="A70" s="11">
        <v>67</v>
      </c>
      <c r="B70" s="12" t="s">
        <v>97</v>
      </c>
      <c r="C70" s="12" t="s">
        <v>37</v>
      </c>
      <c r="D70" s="13" t="str">
        <f>IF(OR(TabEmbargos[[#This Row],[Impedida sem Imissão na Posse]]="S",TabEmbargos[[#This Row],[Impedida com Imissão na Posse]]="S"),"E","L")</f>
        <v>L</v>
      </c>
      <c r="E70" s="13" t="str">
        <f>IF(COUNTIF(TabEmbargos[[#This Row],[Embargo Projeto]:[Embargo Meio Ambiente]],"S"),"S","N")</f>
        <v>N</v>
      </c>
      <c r="F70" s="13" t="str">
        <f>IF(AND(TabEmbargos[[#This Row],[Embargo Projeto]]="S",TabEmbargos[[#This Row],[Embargo Fundiário]]="S"),"S","N")</f>
        <v>N</v>
      </c>
      <c r="G70" s="13" t="s">
        <v>24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</row>
    <row r="71" spans="1:15" x14ac:dyDescent="0.3">
      <c r="A71" s="11">
        <v>68</v>
      </c>
      <c r="B71" s="12" t="s">
        <v>98</v>
      </c>
      <c r="C71" s="12" t="s">
        <v>32</v>
      </c>
      <c r="D71" s="13" t="str">
        <f>IF(OR(TabEmbargos[[#This Row],[Impedida sem Imissão na Posse]]="S",TabEmbargos[[#This Row],[Impedida com Imissão na Posse]]="S"),"E","L")</f>
        <v>L</v>
      </c>
      <c r="E71" s="13" t="str">
        <f>IF(COUNTIF(TabEmbargos[[#This Row],[Embargo Projeto]:[Embargo Meio Ambiente]],"S"),"S","N")</f>
        <v>N</v>
      </c>
      <c r="F71" s="13" t="str">
        <f>IF(AND(TabEmbargos[[#This Row],[Embargo Projeto]]="S",TabEmbargos[[#This Row],[Embargo Fundiário]]="S"),"S","N")</f>
        <v>N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</row>
    <row r="72" spans="1:15" x14ac:dyDescent="0.3">
      <c r="A72" s="11">
        <v>69</v>
      </c>
      <c r="B72" s="12" t="s">
        <v>99</v>
      </c>
      <c r="C72" s="12" t="s">
        <v>32</v>
      </c>
      <c r="D72" s="13" t="str">
        <f>IF(OR(TabEmbargos[[#This Row],[Impedida sem Imissão na Posse]]="S",TabEmbargos[[#This Row],[Impedida com Imissão na Posse]]="S"),"E","L")</f>
        <v>L</v>
      </c>
      <c r="E72" s="13" t="str">
        <f>IF(COUNTIF(TabEmbargos[[#This Row],[Embargo Projeto]:[Embargo Meio Ambiente]],"S"),"S","N")</f>
        <v>N</v>
      </c>
      <c r="F72" s="13" t="str">
        <f>IF(AND(TabEmbargos[[#This Row],[Embargo Projeto]]="S",TabEmbargos[[#This Row],[Embargo Fundiário]]="S"),"S","N")</f>
        <v>N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</row>
    <row r="73" spans="1:15" x14ac:dyDescent="0.3">
      <c r="A73" s="11">
        <v>70</v>
      </c>
      <c r="B73" s="12" t="s">
        <v>100</v>
      </c>
      <c r="C73" s="12" t="s">
        <v>32</v>
      </c>
      <c r="D73" s="13" t="str">
        <f>IF(OR(TabEmbargos[[#This Row],[Impedida sem Imissão na Posse]]="S",TabEmbargos[[#This Row],[Impedida com Imissão na Posse]]="S"),"E","L")</f>
        <v>L</v>
      </c>
      <c r="E73" s="13" t="str">
        <f>IF(COUNTIF(TabEmbargos[[#This Row],[Embargo Projeto]:[Embargo Meio Ambiente]],"S"),"S","N")</f>
        <v>N</v>
      </c>
      <c r="F73" s="13" t="str">
        <f>IF(AND(TabEmbargos[[#This Row],[Embargo Projeto]]="S",TabEmbargos[[#This Row],[Embargo Fundiário]]="S"),"S","N")</f>
        <v>N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</row>
    <row r="74" spans="1:15" x14ac:dyDescent="0.3">
      <c r="A74" s="11">
        <v>71</v>
      </c>
      <c r="B74" s="12" t="s">
        <v>101</v>
      </c>
      <c r="C74" s="12" t="s">
        <v>72</v>
      </c>
      <c r="D74" s="13" t="str">
        <f>IF(OR(TabEmbargos[[#This Row],[Impedida sem Imissão na Posse]]="S",TabEmbargos[[#This Row],[Impedida com Imissão na Posse]]="S"),"E","L")</f>
        <v>L</v>
      </c>
      <c r="E74" s="13" t="str">
        <f>IF(COUNTIF(TabEmbargos[[#This Row],[Embargo Projeto]:[Embargo Meio Ambiente]],"S"),"S","N")</f>
        <v>N</v>
      </c>
      <c r="F74" s="13" t="str">
        <f>IF(AND(TabEmbargos[[#This Row],[Embargo Projeto]]="S",TabEmbargos[[#This Row],[Embargo Fundiário]]="S"),"S","N")</f>
        <v>N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</row>
    <row r="75" spans="1:15" x14ac:dyDescent="0.3">
      <c r="A75" s="11">
        <v>72</v>
      </c>
      <c r="B75" s="12" t="s">
        <v>102</v>
      </c>
      <c r="C75" s="12" t="s">
        <v>42</v>
      </c>
      <c r="D75" s="13" t="str">
        <f>IF(OR(TabEmbargos[[#This Row],[Impedida sem Imissão na Posse]]="S",TabEmbargos[[#This Row],[Impedida com Imissão na Posse]]="S"),"E","L")</f>
        <v>L</v>
      </c>
      <c r="E75" s="13" t="str">
        <f>IF(COUNTIF(TabEmbargos[[#This Row],[Embargo Projeto]:[Embargo Meio Ambiente]],"S"),"S","N")</f>
        <v>N</v>
      </c>
      <c r="F75" s="13" t="str">
        <f>IF(AND(TabEmbargos[[#This Row],[Embargo Projeto]]="S",TabEmbargos[[#This Row],[Embargo Fundiário]]="S"),"S","N")</f>
        <v>N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</row>
    <row r="76" spans="1:15" x14ac:dyDescent="0.3">
      <c r="A76" s="11">
        <v>73</v>
      </c>
      <c r="B76" s="12" t="s">
        <v>103</v>
      </c>
      <c r="C76" s="12" t="s">
        <v>32</v>
      </c>
      <c r="D76" s="13" t="str">
        <f>IF(OR(TabEmbargos[[#This Row],[Impedida sem Imissão na Posse]]="S",TabEmbargos[[#This Row],[Impedida com Imissão na Posse]]="S"),"E","L")</f>
        <v>L</v>
      </c>
      <c r="E76" s="13" t="str">
        <f>IF(COUNTIF(TabEmbargos[[#This Row],[Embargo Projeto]:[Embargo Meio Ambiente]],"S"),"S","N")</f>
        <v>N</v>
      </c>
      <c r="F76" s="13" t="str">
        <f>IF(AND(TabEmbargos[[#This Row],[Embargo Projeto]]="S",TabEmbargos[[#This Row],[Embargo Fundiário]]="S"),"S","N")</f>
        <v>N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</row>
    <row r="77" spans="1:15" x14ac:dyDescent="0.3">
      <c r="A77" s="11">
        <v>74</v>
      </c>
      <c r="B77" s="12" t="s">
        <v>104</v>
      </c>
      <c r="C77" s="12" t="s">
        <v>105</v>
      </c>
      <c r="D77" s="13" t="str">
        <f>IF(OR(TabEmbargos[[#This Row],[Impedida sem Imissão na Posse]]="S",TabEmbargos[[#This Row],[Impedida com Imissão na Posse]]="S"),"E","L")</f>
        <v>L</v>
      </c>
      <c r="E77" s="13" t="str">
        <f>IF(COUNTIF(TabEmbargos[[#This Row],[Embargo Projeto]:[Embargo Meio Ambiente]],"S"),"S","N")</f>
        <v>N</v>
      </c>
      <c r="F77" s="13" t="str">
        <f>IF(AND(TabEmbargos[[#This Row],[Embargo Projeto]]="S",TabEmbargos[[#This Row],[Embargo Fundiário]]="S"),"S","N")</f>
        <v>N</v>
      </c>
      <c r="G77" s="13" t="s">
        <v>24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</row>
    <row r="78" spans="1:15" x14ac:dyDescent="0.3">
      <c r="A78" s="11">
        <v>75</v>
      </c>
      <c r="B78" s="12" t="s">
        <v>106</v>
      </c>
      <c r="C78" s="12" t="s">
        <v>32</v>
      </c>
      <c r="D78" s="13" t="str">
        <f>IF(OR(TabEmbargos[[#This Row],[Impedida sem Imissão na Posse]]="S",TabEmbargos[[#This Row],[Impedida com Imissão na Posse]]="S"),"E","L")</f>
        <v>L</v>
      </c>
      <c r="E78" s="13" t="str">
        <f>IF(COUNTIF(TabEmbargos[[#This Row],[Embargo Projeto]:[Embargo Meio Ambiente]],"S"),"S","N")</f>
        <v>N</v>
      </c>
      <c r="F78" s="13" t="str">
        <f>IF(AND(TabEmbargos[[#This Row],[Embargo Projeto]]="S",TabEmbargos[[#This Row],[Embargo Fundiário]]="S"),"S","N")</f>
        <v>N</v>
      </c>
      <c r="G78" s="13" t="s">
        <v>24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</row>
    <row r="79" spans="1:15" x14ac:dyDescent="0.3">
      <c r="A79" s="11">
        <v>76</v>
      </c>
      <c r="B79" s="12" t="s">
        <v>107</v>
      </c>
      <c r="C79" s="12" t="s">
        <v>32</v>
      </c>
      <c r="D79" s="13" t="str">
        <f>IF(OR(TabEmbargos[[#This Row],[Impedida sem Imissão na Posse]]="S",TabEmbargos[[#This Row],[Impedida com Imissão na Posse]]="S"),"E","L")</f>
        <v>L</v>
      </c>
      <c r="E79" s="13" t="str">
        <f>IF(COUNTIF(TabEmbargos[[#This Row],[Embargo Projeto]:[Embargo Meio Ambiente]],"S"),"S","N")</f>
        <v>N</v>
      </c>
      <c r="F79" s="13" t="str">
        <f>IF(AND(TabEmbargos[[#This Row],[Embargo Projeto]]="S",TabEmbargos[[#This Row],[Embargo Fundiário]]="S"),"S","N")</f>
        <v>N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</row>
    <row r="80" spans="1:15" x14ac:dyDescent="0.3">
      <c r="A80" s="11">
        <v>77</v>
      </c>
      <c r="B80" s="12" t="s">
        <v>108</v>
      </c>
      <c r="C80" s="12" t="s">
        <v>32</v>
      </c>
      <c r="D80" s="13" t="str">
        <f>IF(OR(TabEmbargos[[#This Row],[Impedida sem Imissão na Posse]]="S",TabEmbargos[[#This Row],[Impedida com Imissão na Posse]]="S"),"E","L")</f>
        <v>L</v>
      </c>
      <c r="E80" s="13" t="str">
        <f>IF(COUNTIF(TabEmbargos[[#This Row],[Embargo Projeto]:[Embargo Meio Ambiente]],"S"),"S","N")</f>
        <v>N</v>
      </c>
      <c r="F80" s="13" t="str">
        <f>IF(AND(TabEmbargos[[#This Row],[Embargo Projeto]]="S",TabEmbargos[[#This Row],[Embargo Fundiário]]="S"),"S","N")</f>
        <v>N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</row>
    <row r="81" spans="1:15" x14ac:dyDescent="0.3">
      <c r="A81" s="11">
        <v>78</v>
      </c>
      <c r="B81" s="12" t="s">
        <v>109</v>
      </c>
      <c r="C81" s="12" t="s">
        <v>37</v>
      </c>
      <c r="D81" s="13" t="str">
        <f>IF(OR(TabEmbargos[[#This Row],[Impedida sem Imissão na Posse]]="S",TabEmbargos[[#This Row],[Impedida com Imissão na Posse]]="S"),"E","L")</f>
        <v>L</v>
      </c>
      <c r="E81" s="13" t="str">
        <f>IF(COUNTIF(TabEmbargos[[#This Row],[Embargo Projeto]:[Embargo Meio Ambiente]],"S"),"S","N")</f>
        <v>N</v>
      </c>
      <c r="F81" s="13" t="str">
        <f>IF(AND(TabEmbargos[[#This Row],[Embargo Projeto]]="S",TabEmbargos[[#This Row],[Embargo Fundiário]]="S"),"S","N")</f>
        <v>N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</row>
    <row r="82" spans="1:15" x14ac:dyDescent="0.3">
      <c r="A82" s="11">
        <v>79</v>
      </c>
      <c r="B82" s="12" t="s">
        <v>110</v>
      </c>
      <c r="C82" s="12" t="s">
        <v>32</v>
      </c>
      <c r="D82" s="13" t="str">
        <f>IF(OR(TabEmbargos[[#This Row],[Impedida sem Imissão na Posse]]="S",TabEmbargos[[#This Row],[Impedida com Imissão na Posse]]="S"),"E","L")</f>
        <v>L</v>
      </c>
      <c r="E82" s="13" t="str">
        <f>IF(COUNTIF(TabEmbargos[[#This Row],[Embargo Projeto]:[Embargo Meio Ambiente]],"S"),"S","N")</f>
        <v>N</v>
      </c>
      <c r="F82" s="13" t="str">
        <f>IF(AND(TabEmbargos[[#This Row],[Embargo Projeto]]="S",TabEmbargos[[#This Row],[Embargo Fundiário]]="S"),"S","N")</f>
        <v>N</v>
      </c>
      <c r="G82" s="13" t="s">
        <v>24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</row>
    <row r="83" spans="1:15" x14ac:dyDescent="0.3">
      <c r="A83" s="11">
        <v>80</v>
      </c>
      <c r="B83" s="12" t="s">
        <v>111</v>
      </c>
      <c r="C83" s="12" t="s">
        <v>32</v>
      </c>
      <c r="D83" s="13" t="str">
        <f>IF(OR(TabEmbargos[[#This Row],[Impedida sem Imissão na Posse]]="S",TabEmbargos[[#This Row],[Impedida com Imissão na Posse]]="S"),"E","L")</f>
        <v>L</v>
      </c>
      <c r="E83" s="13" t="str">
        <f>IF(COUNTIF(TabEmbargos[[#This Row],[Embargo Projeto]:[Embargo Meio Ambiente]],"S"),"S","N")</f>
        <v>N</v>
      </c>
      <c r="F83" s="13" t="str">
        <f>IF(AND(TabEmbargos[[#This Row],[Embargo Projeto]]="S",TabEmbargos[[#This Row],[Embargo Fundiário]]="S"),"S","N")</f>
        <v>N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</row>
    <row r="84" spans="1:15" x14ac:dyDescent="0.3">
      <c r="A84" s="11">
        <v>81</v>
      </c>
      <c r="B84" s="12" t="s">
        <v>112</v>
      </c>
      <c r="C84" s="12" t="s">
        <v>26</v>
      </c>
      <c r="D84" s="13" t="str">
        <f>IF(OR(TabEmbargos[[#This Row],[Impedida sem Imissão na Posse]]="S",TabEmbargos[[#This Row],[Impedida com Imissão na Posse]]="S"),"E","L")</f>
        <v>L</v>
      </c>
      <c r="E84" s="13" t="str">
        <f>IF(COUNTIF(TabEmbargos[[#This Row],[Embargo Projeto]:[Embargo Meio Ambiente]],"S"),"S","N")</f>
        <v>N</v>
      </c>
      <c r="F84" s="13" t="str">
        <f>IF(AND(TabEmbargos[[#This Row],[Embargo Projeto]]="S",TabEmbargos[[#This Row],[Embargo Fundiário]]="S"),"S","N")</f>
        <v>N</v>
      </c>
      <c r="G84" s="13" t="s">
        <v>24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</row>
    <row r="85" spans="1:15" x14ac:dyDescent="0.3">
      <c r="A85" s="11">
        <v>82</v>
      </c>
      <c r="B85" s="12" t="s">
        <v>113</v>
      </c>
      <c r="C85" s="12" t="s">
        <v>42</v>
      </c>
      <c r="D85" s="13" t="str">
        <f>IF(OR(TabEmbargos[[#This Row],[Impedida sem Imissão na Posse]]="S",TabEmbargos[[#This Row],[Impedida com Imissão na Posse]]="S"),"E","L")</f>
        <v>L</v>
      </c>
      <c r="E85" s="13" t="str">
        <f>IF(COUNTIF(TabEmbargos[[#This Row],[Embargo Projeto]:[Embargo Meio Ambiente]],"S"),"S","N")</f>
        <v>N</v>
      </c>
      <c r="F85" s="13" t="str">
        <f>IF(AND(TabEmbargos[[#This Row],[Embargo Projeto]]="S",TabEmbargos[[#This Row],[Embargo Fundiário]]="S"),"S","N")</f>
        <v>N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</row>
    <row r="86" spans="1:15" x14ac:dyDescent="0.3">
      <c r="A86" s="11">
        <v>83</v>
      </c>
      <c r="B86" s="12" t="s">
        <v>114</v>
      </c>
      <c r="C86" s="12" t="s">
        <v>32</v>
      </c>
      <c r="D86" s="13" t="str">
        <f>IF(OR(TabEmbargos[[#This Row],[Impedida sem Imissão na Posse]]="S",TabEmbargos[[#This Row],[Impedida com Imissão na Posse]]="S"),"E","L")</f>
        <v>L</v>
      </c>
      <c r="E86" s="13" t="str">
        <f>IF(COUNTIF(TabEmbargos[[#This Row],[Embargo Projeto]:[Embargo Meio Ambiente]],"S"),"S","N")</f>
        <v>N</v>
      </c>
      <c r="F86" s="13" t="str">
        <f>IF(AND(TabEmbargos[[#This Row],[Embargo Projeto]]="S",TabEmbargos[[#This Row],[Embargo Fundiário]]="S"),"S","N")</f>
        <v>N</v>
      </c>
      <c r="G86" s="13" t="s">
        <v>24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</row>
    <row r="87" spans="1:15" x14ac:dyDescent="0.3">
      <c r="A87" s="11">
        <v>84</v>
      </c>
      <c r="B87" s="12" t="s">
        <v>115</v>
      </c>
      <c r="C87" s="12" t="s">
        <v>42</v>
      </c>
      <c r="D87" s="13" t="str">
        <f>IF(OR(TabEmbargos[[#This Row],[Impedida sem Imissão na Posse]]="S",TabEmbargos[[#This Row],[Impedida com Imissão na Posse]]="S"),"E","L")</f>
        <v>L</v>
      </c>
      <c r="E87" s="13" t="str">
        <f>IF(COUNTIF(TabEmbargos[[#This Row],[Embargo Projeto]:[Embargo Meio Ambiente]],"S"),"S","N")</f>
        <v>N</v>
      </c>
      <c r="F87" s="13" t="str">
        <f>IF(AND(TabEmbargos[[#This Row],[Embargo Projeto]]="S",TabEmbargos[[#This Row],[Embargo Fundiário]]="S"),"S","N")</f>
        <v>N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</row>
    <row r="88" spans="1:15" x14ac:dyDescent="0.3">
      <c r="A88" s="11">
        <v>85</v>
      </c>
      <c r="B88" s="12" t="s">
        <v>116</v>
      </c>
      <c r="C88" s="12" t="s">
        <v>32</v>
      </c>
      <c r="D88" s="13" t="str">
        <f>IF(OR(TabEmbargos[[#This Row],[Impedida sem Imissão na Posse]]="S",TabEmbargos[[#This Row],[Impedida com Imissão na Posse]]="S"),"E","L")</f>
        <v>L</v>
      </c>
      <c r="E88" s="13" t="str">
        <f>IF(COUNTIF(TabEmbargos[[#This Row],[Embargo Projeto]:[Embargo Meio Ambiente]],"S"),"S","N")</f>
        <v>N</v>
      </c>
      <c r="F88" s="13" t="str">
        <f>IF(AND(TabEmbargos[[#This Row],[Embargo Projeto]]="S",TabEmbargos[[#This Row],[Embargo Fundiário]]="S"),"S","N")</f>
        <v>N</v>
      </c>
      <c r="G88" s="13" t="s">
        <v>24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</row>
    <row r="89" spans="1:15" x14ac:dyDescent="0.3">
      <c r="A89" s="11">
        <v>86</v>
      </c>
      <c r="B89" s="12" t="s">
        <v>117</v>
      </c>
      <c r="C89" s="12" t="s">
        <v>72</v>
      </c>
      <c r="D89" s="13" t="str">
        <f>IF(OR(TabEmbargos[[#This Row],[Impedida sem Imissão na Posse]]="S",TabEmbargos[[#This Row],[Impedida com Imissão na Posse]]="S"),"E","L")</f>
        <v>E</v>
      </c>
      <c r="E89" s="13" t="str">
        <f>IF(COUNTIF(TabEmbargos[[#This Row],[Embargo Projeto]:[Embargo Meio Ambiente]],"S"),"S","N")</f>
        <v>S</v>
      </c>
      <c r="F89" s="13" t="str">
        <f>IF(AND(TabEmbargos[[#This Row],[Embargo Projeto]]="S",TabEmbargos[[#This Row],[Embargo Fundiário]]="S"),"S","N")</f>
        <v>N</v>
      </c>
      <c r="G89" s="13" t="s">
        <v>21</v>
      </c>
      <c r="H89" s="13" t="s">
        <v>24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</row>
    <row r="90" spans="1:15" x14ac:dyDescent="0.3">
      <c r="A90" s="11">
        <v>87</v>
      </c>
      <c r="B90" s="12" t="s">
        <v>118</v>
      </c>
      <c r="C90" s="12" t="s">
        <v>105</v>
      </c>
      <c r="D90" s="13" t="str">
        <f>IF(OR(TabEmbargos[[#This Row],[Impedida sem Imissão na Posse]]="S",TabEmbargos[[#This Row],[Impedida com Imissão na Posse]]="S"),"E","L")</f>
        <v>L</v>
      </c>
      <c r="E90" s="13" t="str">
        <f>IF(COUNTIF(TabEmbargos[[#This Row],[Embargo Projeto]:[Embargo Meio Ambiente]],"S"),"S","N")</f>
        <v>N</v>
      </c>
      <c r="F90" s="13" t="str">
        <f>IF(AND(TabEmbargos[[#This Row],[Embargo Projeto]]="S",TabEmbargos[[#This Row],[Embargo Fundiário]]="S"),"S","N")</f>
        <v>N</v>
      </c>
      <c r="G90" s="13" t="s">
        <v>24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</row>
    <row r="91" spans="1:15" x14ac:dyDescent="0.3">
      <c r="A91" s="11">
        <v>88</v>
      </c>
      <c r="B91" s="12" t="s">
        <v>119</v>
      </c>
      <c r="C91" s="12" t="s">
        <v>105</v>
      </c>
      <c r="D91" s="13" t="str">
        <f>IF(OR(TabEmbargos[[#This Row],[Impedida sem Imissão na Posse]]="S",TabEmbargos[[#This Row],[Impedida com Imissão na Posse]]="S"),"E","L")</f>
        <v>L</v>
      </c>
      <c r="E91" s="13" t="str">
        <f>IF(COUNTIF(TabEmbargos[[#This Row],[Embargo Projeto]:[Embargo Meio Ambiente]],"S"),"S","N")</f>
        <v>N</v>
      </c>
      <c r="F91" s="13" t="str">
        <f>IF(AND(TabEmbargos[[#This Row],[Embargo Projeto]]="S",TabEmbargos[[#This Row],[Embargo Fundiário]]="S"),"S","N")</f>
        <v>N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</row>
    <row r="92" spans="1:15" x14ac:dyDescent="0.3">
      <c r="A92" s="11">
        <v>89</v>
      </c>
      <c r="B92" s="12" t="s">
        <v>120</v>
      </c>
      <c r="C92" s="12" t="s">
        <v>72</v>
      </c>
      <c r="D92" s="13" t="str">
        <f>IF(OR(TabEmbargos[[#This Row],[Impedida sem Imissão na Posse]]="S",TabEmbargos[[#This Row],[Impedida com Imissão na Posse]]="S"),"E","L")</f>
        <v>L</v>
      </c>
      <c r="E92" s="13" t="str">
        <f>IF(COUNTIF(TabEmbargos[[#This Row],[Embargo Projeto]:[Embargo Meio Ambiente]],"S"),"S","N")</f>
        <v>N</v>
      </c>
      <c r="F92" s="13" t="str">
        <f>IF(AND(TabEmbargos[[#This Row],[Embargo Projeto]]="S",TabEmbargos[[#This Row],[Embargo Fundiário]]="S"),"S","N")</f>
        <v>N</v>
      </c>
      <c r="G92" s="13" t="s">
        <v>24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</row>
    <row r="93" spans="1:15" x14ac:dyDescent="0.3">
      <c r="A93" s="11">
        <v>90</v>
      </c>
      <c r="B93" s="12" t="s">
        <v>121</v>
      </c>
      <c r="C93" s="12" t="s">
        <v>32</v>
      </c>
      <c r="D93" s="13" t="str">
        <f>IF(OR(TabEmbargos[[#This Row],[Impedida sem Imissão na Posse]]="S",TabEmbargos[[#This Row],[Impedida com Imissão na Posse]]="S"),"E","L")</f>
        <v>L</v>
      </c>
      <c r="E93" s="13" t="str">
        <f>IF(COUNTIF(TabEmbargos[[#This Row],[Embargo Projeto]:[Embargo Meio Ambiente]],"S"),"S","N")</f>
        <v>N</v>
      </c>
      <c r="F93" s="13" t="str">
        <f>IF(AND(TabEmbargos[[#This Row],[Embargo Projeto]]="S",TabEmbargos[[#This Row],[Embargo Fundiário]]="S"),"S","N")</f>
        <v>N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</row>
    <row r="94" spans="1:15" x14ac:dyDescent="0.3">
      <c r="A94" s="11">
        <v>91</v>
      </c>
      <c r="B94" s="12" t="s">
        <v>122</v>
      </c>
      <c r="C94" s="12" t="s">
        <v>32</v>
      </c>
      <c r="D94" s="13" t="str">
        <f>IF(OR(TabEmbargos[[#This Row],[Impedida sem Imissão na Posse]]="S",TabEmbargos[[#This Row],[Impedida com Imissão na Posse]]="S"),"E","L")</f>
        <v>L</v>
      </c>
      <c r="E94" s="13" t="str">
        <f>IF(COUNTIF(TabEmbargos[[#This Row],[Embargo Projeto]:[Embargo Meio Ambiente]],"S"),"S","N")</f>
        <v>N</v>
      </c>
      <c r="F94" s="13" t="str">
        <f>IF(AND(TabEmbargos[[#This Row],[Embargo Projeto]]="S",TabEmbargos[[#This Row],[Embargo Fundiário]]="S"),"S","N")</f>
        <v>N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</row>
    <row r="95" spans="1:15" x14ac:dyDescent="0.3">
      <c r="A95" s="11">
        <v>92</v>
      </c>
      <c r="B95" s="12" t="s">
        <v>123</v>
      </c>
      <c r="C95" s="12" t="s">
        <v>72</v>
      </c>
      <c r="D95" s="13" t="str">
        <f>IF(OR(TabEmbargos[[#This Row],[Impedida sem Imissão na Posse]]="S",TabEmbargos[[#This Row],[Impedida com Imissão na Posse]]="S"),"E","L")</f>
        <v>L</v>
      </c>
      <c r="E95" s="13" t="str">
        <f>IF(COUNTIF(TabEmbargos[[#This Row],[Embargo Projeto]:[Embargo Meio Ambiente]],"S"),"S","N")</f>
        <v>N</v>
      </c>
      <c r="F95" s="13" t="str">
        <f>IF(AND(TabEmbargos[[#This Row],[Embargo Projeto]]="S",TabEmbargos[[#This Row],[Embargo Fundiário]]="S"),"S","N")</f>
        <v>N</v>
      </c>
      <c r="G95" s="13" t="s">
        <v>21</v>
      </c>
      <c r="H95" s="13" t="s">
        <v>21</v>
      </c>
      <c r="I95" s="13" t="s">
        <v>21</v>
      </c>
      <c r="J95" s="13" t="s">
        <v>21</v>
      </c>
      <c r="K95" s="13" t="s">
        <v>21</v>
      </c>
      <c r="L95" s="13" t="s">
        <v>21</v>
      </c>
      <c r="M95" s="13" t="s">
        <v>21</v>
      </c>
      <c r="N95" s="13" t="s">
        <v>21</v>
      </c>
      <c r="O95" s="13" t="s">
        <v>21</v>
      </c>
    </row>
    <row r="96" spans="1:15" x14ac:dyDescent="0.3">
      <c r="A96" s="11">
        <v>93</v>
      </c>
      <c r="B96" s="12" t="s">
        <v>124</v>
      </c>
      <c r="C96" s="12" t="s">
        <v>125</v>
      </c>
      <c r="D96" s="13" t="str">
        <f>IF(OR(TabEmbargos[[#This Row],[Impedida sem Imissão na Posse]]="S",TabEmbargos[[#This Row],[Impedida com Imissão na Posse]]="S"),"E","L")</f>
        <v>E</v>
      </c>
      <c r="E96" s="13" t="str">
        <f>IF(COUNTIF(TabEmbargos[[#This Row],[Embargo Projeto]:[Embargo Meio Ambiente]],"S"),"S","N")</f>
        <v>S</v>
      </c>
      <c r="F96" s="13" t="str">
        <f>IF(AND(TabEmbargos[[#This Row],[Embargo Projeto]]="S",TabEmbargos[[#This Row],[Embargo Fundiário]]="S"),"S","N")</f>
        <v>N</v>
      </c>
      <c r="G96" s="13" t="s">
        <v>21</v>
      </c>
      <c r="H96" s="13" t="s">
        <v>24</v>
      </c>
      <c r="I96" s="13" t="s">
        <v>21</v>
      </c>
      <c r="J96" s="13" t="s">
        <v>21</v>
      </c>
      <c r="K96" s="13" t="s">
        <v>21</v>
      </c>
      <c r="L96" s="13" t="s">
        <v>21</v>
      </c>
      <c r="M96" s="13" t="s">
        <v>21</v>
      </c>
      <c r="N96" s="13" t="s">
        <v>21</v>
      </c>
      <c r="O96" s="13" t="s">
        <v>21</v>
      </c>
    </row>
    <row r="97" spans="1:15" x14ac:dyDescent="0.3">
      <c r="A97" s="11">
        <v>94</v>
      </c>
      <c r="B97" s="12" t="s">
        <v>126</v>
      </c>
      <c r="C97" s="12" t="s">
        <v>37</v>
      </c>
      <c r="D97" s="13" t="str">
        <f>IF(OR(TabEmbargos[[#This Row],[Impedida sem Imissão na Posse]]="S",TabEmbargos[[#This Row],[Impedida com Imissão na Posse]]="S"),"E","L")</f>
        <v>L</v>
      </c>
      <c r="E97" s="13" t="str">
        <f>IF(COUNTIF(TabEmbargos[[#This Row],[Embargo Projeto]:[Embargo Meio Ambiente]],"S"),"S","N")</f>
        <v>N</v>
      </c>
      <c r="F97" s="13" t="str">
        <f>IF(AND(TabEmbargos[[#This Row],[Embargo Projeto]]="S",TabEmbargos[[#This Row],[Embargo Fundiário]]="S"),"S","N")</f>
        <v>N</v>
      </c>
      <c r="G97" s="13" t="s">
        <v>21</v>
      </c>
      <c r="H97" s="13" t="s">
        <v>21</v>
      </c>
      <c r="I97" s="13" t="s">
        <v>21</v>
      </c>
      <c r="J97" s="13" t="s">
        <v>21</v>
      </c>
      <c r="K97" s="13" t="s">
        <v>21</v>
      </c>
      <c r="L97" s="13" t="s">
        <v>21</v>
      </c>
      <c r="M97" s="13" t="s">
        <v>21</v>
      </c>
      <c r="N97" s="13" t="s">
        <v>21</v>
      </c>
      <c r="O97" s="13" t="s">
        <v>21</v>
      </c>
    </row>
    <row r="98" spans="1:15" x14ac:dyDescent="0.3">
      <c r="A98" s="11">
        <v>95</v>
      </c>
      <c r="B98" s="12" t="s">
        <v>127</v>
      </c>
      <c r="C98" s="12" t="s">
        <v>32</v>
      </c>
      <c r="D98" s="13" t="str">
        <f>IF(OR(TabEmbargos[[#This Row],[Impedida sem Imissão na Posse]]="S",TabEmbargos[[#This Row],[Impedida com Imissão na Posse]]="S"),"E","L")</f>
        <v>L</v>
      </c>
      <c r="E98" s="13" t="str">
        <f>IF(COUNTIF(TabEmbargos[[#This Row],[Embargo Projeto]:[Embargo Meio Ambiente]],"S"),"S","N")</f>
        <v>N</v>
      </c>
      <c r="F98" s="13" t="str">
        <f>IF(AND(TabEmbargos[[#This Row],[Embargo Projeto]]="S",TabEmbargos[[#This Row],[Embargo Fundiário]]="S"),"S","N")</f>
        <v>N</v>
      </c>
      <c r="G98" s="13" t="s">
        <v>24</v>
      </c>
      <c r="H98" s="13" t="s">
        <v>21</v>
      </c>
      <c r="I98" s="13" t="s">
        <v>21</v>
      </c>
      <c r="J98" s="13" t="s">
        <v>21</v>
      </c>
      <c r="K98" s="13" t="s">
        <v>21</v>
      </c>
      <c r="L98" s="13" t="s">
        <v>21</v>
      </c>
      <c r="M98" s="13" t="s">
        <v>21</v>
      </c>
      <c r="N98" s="13" t="s">
        <v>21</v>
      </c>
      <c r="O98" s="13" t="s">
        <v>21</v>
      </c>
    </row>
    <row r="99" spans="1:15" x14ac:dyDescent="0.3">
      <c r="A99" s="11">
        <v>96</v>
      </c>
      <c r="B99" s="12" t="s">
        <v>128</v>
      </c>
      <c r="C99" s="12" t="s">
        <v>42</v>
      </c>
      <c r="D99" s="13" t="str">
        <f>IF(OR(TabEmbargos[[#This Row],[Impedida sem Imissão na Posse]]="S",TabEmbargos[[#This Row],[Impedida com Imissão na Posse]]="S"),"E","L")</f>
        <v>L</v>
      </c>
      <c r="E99" s="13" t="str">
        <f>IF(COUNTIF(TabEmbargos[[#This Row],[Embargo Projeto]:[Embargo Meio Ambiente]],"S"),"S","N")</f>
        <v>N</v>
      </c>
      <c r="F99" s="13" t="str">
        <f>IF(AND(TabEmbargos[[#This Row],[Embargo Projeto]]="S",TabEmbargos[[#This Row],[Embargo Fundiário]]="S"),"S","N")</f>
        <v>N</v>
      </c>
      <c r="G99" s="13" t="s">
        <v>21</v>
      </c>
      <c r="H99" s="13" t="s">
        <v>21</v>
      </c>
      <c r="I99" s="13" t="s">
        <v>21</v>
      </c>
      <c r="J99" s="13" t="s">
        <v>21</v>
      </c>
      <c r="K99" s="13" t="s">
        <v>21</v>
      </c>
      <c r="L99" s="13" t="s">
        <v>21</v>
      </c>
      <c r="M99" s="13" t="s">
        <v>21</v>
      </c>
      <c r="N99" s="13" t="s">
        <v>21</v>
      </c>
      <c r="O99" s="13" t="s">
        <v>21</v>
      </c>
    </row>
    <row r="100" spans="1:15" x14ac:dyDescent="0.3">
      <c r="A100" s="11">
        <v>97</v>
      </c>
      <c r="B100" s="12" t="s">
        <v>129</v>
      </c>
      <c r="C100" s="12" t="s">
        <v>32</v>
      </c>
      <c r="D100" s="13" t="str">
        <f>IF(OR(TabEmbargos[[#This Row],[Impedida sem Imissão na Posse]]="S",TabEmbargos[[#This Row],[Impedida com Imissão na Posse]]="S"),"E","L")</f>
        <v>L</v>
      </c>
      <c r="E100" s="13" t="str">
        <f>IF(COUNTIF(TabEmbargos[[#This Row],[Embargo Projeto]:[Embargo Meio Ambiente]],"S"),"S","N")</f>
        <v>N</v>
      </c>
      <c r="F100" s="13" t="str">
        <f>IF(AND(TabEmbargos[[#This Row],[Embargo Projeto]]="S",TabEmbargos[[#This Row],[Embargo Fundiário]]="S"),"S","N")</f>
        <v>N</v>
      </c>
      <c r="G100" s="13" t="s">
        <v>21</v>
      </c>
      <c r="H100" s="13" t="s">
        <v>21</v>
      </c>
      <c r="I100" s="13" t="s">
        <v>21</v>
      </c>
      <c r="J100" s="13" t="s">
        <v>21</v>
      </c>
      <c r="K100" s="13" t="s">
        <v>21</v>
      </c>
      <c r="L100" s="13" t="s">
        <v>21</v>
      </c>
      <c r="M100" s="13" t="s">
        <v>21</v>
      </c>
      <c r="N100" s="13" t="s">
        <v>21</v>
      </c>
      <c r="O100" s="13" t="s">
        <v>21</v>
      </c>
    </row>
    <row r="101" spans="1:15" x14ac:dyDescent="0.3">
      <c r="A101" s="11">
        <v>98</v>
      </c>
      <c r="B101" s="12" t="s">
        <v>130</v>
      </c>
      <c r="C101" s="12" t="s">
        <v>105</v>
      </c>
      <c r="D101" s="13" t="str">
        <f>IF(OR(TabEmbargos[[#This Row],[Impedida sem Imissão na Posse]]="S",TabEmbargos[[#This Row],[Impedida com Imissão na Posse]]="S"),"E","L")</f>
        <v>L</v>
      </c>
      <c r="E101" s="13" t="str">
        <f>IF(COUNTIF(TabEmbargos[[#This Row],[Embargo Projeto]:[Embargo Meio Ambiente]],"S"),"S","N")</f>
        <v>N</v>
      </c>
      <c r="F101" s="13" t="str">
        <f>IF(AND(TabEmbargos[[#This Row],[Embargo Projeto]]="S",TabEmbargos[[#This Row],[Embargo Fundiário]]="S"),"S","N")</f>
        <v>N</v>
      </c>
      <c r="G101" s="13" t="s">
        <v>24</v>
      </c>
      <c r="H101" s="13" t="s">
        <v>21</v>
      </c>
      <c r="I101" s="13" t="s">
        <v>21</v>
      </c>
      <c r="J101" s="13" t="s">
        <v>21</v>
      </c>
      <c r="K101" s="13" t="s">
        <v>21</v>
      </c>
      <c r="L101" s="13" t="s">
        <v>21</v>
      </c>
      <c r="M101" s="13" t="s">
        <v>21</v>
      </c>
      <c r="N101" s="13" t="s">
        <v>21</v>
      </c>
      <c r="O101" s="13" t="s">
        <v>21</v>
      </c>
    </row>
    <row r="102" spans="1:15" x14ac:dyDescent="0.3">
      <c r="A102" s="11">
        <v>99</v>
      </c>
      <c r="B102" s="12" t="s">
        <v>131</v>
      </c>
      <c r="C102" s="12" t="s">
        <v>32</v>
      </c>
      <c r="D102" s="13" t="str">
        <f>IF(OR(TabEmbargos[[#This Row],[Impedida sem Imissão na Posse]]="S",TabEmbargos[[#This Row],[Impedida com Imissão na Posse]]="S"),"E","L")</f>
        <v>L</v>
      </c>
      <c r="E102" s="13" t="str">
        <f>IF(COUNTIF(TabEmbargos[[#This Row],[Embargo Projeto]:[Embargo Meio Ambiente]],"S"),"S","N")</f>
        <v>N</v>
      </c>
      <c r="F102" s="13" t="str">
        <f>IF(AND(TabEmbargos[[#This Row],[Embargo Projeto]]="S",TabEmbargos[[#This Row],[Embargo Fundiário]]="S"),"S","N")</f>
        <v>N</v>
      </c>
      <c r="G102" s="13" t="s">
        <v>21</v>
      </c>
      <c r="H102" s="13" t="s">
        <v>21</v>
      </c>
      <c r="I102" s="13" t="s">
        <v>21</v>
      </c>
      <c r="J102" s="13" t="s">
        <v>21</v>
      </c>
      <c r="K102" s="13" t="s">
        <v>21</v>
      </c>
      <c r="L102" s="13" t="s">
        <v>21</v>
      </c>
      <c r="M102" s="13" t="s">
        <v>21</v>
      </c>
      <c r="N102" s="13" t="s">
        <v>21</v>
      </c>
      <c r="O102" s="13" t="s">
        <v>21</v>
      </c>
    </row>
    <row r="103" spans="1:15" x14ac:dyDescent="0.3">
      <c r="A103" s="11">
        <v>100</v>
      </c>
      <c r="B103" s="12" t="s">
        <v>132</v>
      </c>
      <c r="C103" s="12" t="s">
        <v>32</v>
      </c>
      <c r="D103" s="13" t="str">
        <f>IF(OR(TabEmbargos[[#This Row],[Impedida sem Imissão na Posse]]="S",TabEmbargos[[#This Row],[Impedida com Imissão na Posse]]="S"),"E","L")</f>
        <v>E</v>
      </c>
      <c r="E103" s="13" t="str">
        <f>IF(COUNTIF(TabEmbargos[[#This Row],[Embargo Projeto]:[Embargo Meio Ambiente]],"S"),"S","N")</f>
        <v>S</v>
      </c>
      <c r="F103" s="13" t="str">
        <f>IF(AND(TabEmbargos[[#This Row],[Embargo Projeto]]="S",TabEmbargos[[#This Row],[Embargo Fundiário]]="S"),"S","N")</f>
        <v>S</v>
      </c>
      <c r="G103" s="13" t="s">
        <v>24</v>
      </c>
      <c r="H103" s="13" t="s">
        <v>24</v>
      </c>
      <c r="I103" s="13" t="s">
        <v>21</v>
      </c>
      <c r="J103" s="13" t="s">
        <v>24</v>
      </c>
      <c r="K103" s="13" t="s">
        <v>21</v>
      </c>
      <c r="L103" s="13" t="s">
        <v>21</v>
      </c>
      <c r="M103" s="13" t="s">
        <v>21</v>
      </c>
      <c r="N103" s="13" t="s">
        <v>21</v>
      </c>
      <c r="O103" s="13" t="s">
        <v>21</v>
      </c>
    </row>
    <row r="104" spans="1:15" x14ac:dyDescent="0.3">
      <c r="A104" s="11">
        <v>101</v>
      </c>
      <c r="B104" s="12" t="s">
        <v>133</v>
      </c>
      <c r="C104" s="12" t="s">
        <v>105</v>
      </c>
      <c r="D104" s="13" t="str">
        <f>IF(OR(TabEmbargos[[#This Row],[Impedida sem Imissão na Posse]]="S",TabEmbargos[[#This Row],[Impedida com Imissão na Posse]]="S"),"E","L")</f>
        <v>E</v>
      </c>
      <c r="E104" s="13" t="str">
        <f>IF(COUNTIF(TabEmbargos[[#This Row],[Embargo Projeto]:[Embargo Meio Ambiente]],"S"),"S","N")</f>
        <v>S</v>
      </c>
      <c r="F104" s="13" t="str">
        <f>IF(AND(TabEmbargos[[#This Row],[Embargo Projeto]]="S",TabEmbargos[[#This Row],[Embargo Fundiário]]="S"),"S","N")</f>
        <v>N</v>
      </c>
      <c r="G104" s="13" t="s">
        <v>21</v>
      </c>
      <c r="H104" s="13" t="s">
        <v>21</v>
      </c>
      <c r="I104" s="13" t="s">
        <v>21</v>
      </c>
      <c r="J104" s="13" t="s">
        <v>24</v>
      </c>
      <c r="K104" s="13" t="s">
        <v>21</v>
      </c>
      <c r="L104" s="13" t="s">
        <v>21</v>
      </c>
      <c r="M104" s="13" t="s">
        <v>21</v>
      </c>
      <c r="N104" s="13" t="s">
        <v>21</v>
      </c>
      <c r="O104" s="13" t="s">
        <v>21</v>
      </c>
    </row>
    <row r="105" spans="1:15" x14ac:dyDescent="0.3">
      <c r="A105" s="11">
        <v>102</v>
      </c>
      <c r="B105" s="12" t="s">
        <v>134</v>
      </c>
      <c r="C105" s="12" t="s">
        <v>72</v>
      </c>
      <c r="D105" s="13" t="str">
        <f>IF(OR(TabEmbargos[[#This Row],[Impedida sem Imissão na Posse]]="S",TabEmbargos[[#This Row],[Impedida com Imissão na Posse]]="S"),"E","L")</f>
        <v>L</v>
      </c>
      <c r="E105" s="13" t="str">
        <f>IF(COUNTIF(TabEmbargos[[#This Row],[Embargo Projeto]:[Embargo Meio Ambiente]],"S"),"S","N")</f>
        <v>N</v>
      </c>
      <c r="F105" s="13" t="str">
        <f>IF(AND(TabEmbargos[[#This Row],[Embargo Projeto]]="S",TabEmbargos[[#This Row],[Embargo Fundiário]]="S"),"S","N")</f>
        <v>N</v>
      </c>
      <c r="G105" s="13" t="s">
        <v>24</v>
      </c>
      <c r="H105" s="13" t="s">
        <v>21</v>
      </c>
      <c r="I105" s="13" t="s">
        <v>21</v>
      </c>
      <c r="J105" s="13" t="s">
        <v>21</v>
      </c>
      <c r="K105" s="13" t="s">
        <v>21</v>
      </c>
      <c r="L105" s="13" t="s">
        <v>21</v>
      </c>
      <c r="M105" s="13" t="s">
        <v>21</v>
      </c>
      <c r="N105" s="13" t="s">
        <v>21</v>
      </c>
      <c r="O105" s="13" t="s">
        <v>21</v>
      </c>
    </row>
    <row r="106" spans="1:15" x14ac:dyDescent="0.3">
      <c r="A106" s="11">
        <v>103</v>
      </c>
      <c r="B106" s="12" t="s">
        <v>135</v>
      </c>
      <c r="C106" s="12" t="s">
        <v>26</v>
      </c>
      <c r="D106" s="13" t="str">
        <f>IF(OR(TabEmbargos[[#This Row],[Impedida sem Imissão na Posse]]="S",TabEmbargos[[#This Row],[Impedida com Imissão na Posse]]="S"),"E","L")</f>
        <v>L</v>
      </c>
      <c r="E106" s="13" t="str">
        <f>IF(COUNTIF(TabEmbargos[[#This Row],[Embargo Projeto]:[Embargo Meio Ambiente]],"S"),"S","N")</f>
        <v>N</v>
      </c>
      <c r="F106" s="13" t="str">
        <f>IF(AND(TabEmbargos[[#This Row],[Embargo Projeto]]="S",TabEmbargos[[#This Row],[Embargo Fundiário]]="S"),"S","N")</f>
        <v>N</v>
      </c>
      <c r="G106" s="13" t="s">
        <v>21</v>
      </c>
      <c r="H106" s="13" t="s">
        <v>21</v>
      </c>
      <c r="I106" s="13" t="s">
        <v>21</v>
      </c>
      <c r="J106" s="13" t="s">
        <v>21</v>
      </c>
      <c r="K106" s="13" t="s">
        <v>21</v>
      </c>
      <c r="L106" s="13" t="s">
        <v>21</v>
      </c>
      <c r="M106" s="13" t="s">
        <v>21</v>
      </c>
      <c r="N106" s="13" t="s">
        <v>21</v>
      </c>
      <c r="O106" s="13" t="s">
        <v>21</v>
      </c>
    </row>
    <row r="107" spans="1:15" x14ac:dyDescent="0.3">
      <c r="A107" s="11">
        <v>104</v>
      </c>
      <c r="B107" s="12" t="s">
        <v>136</v>
      </c>
      <c r="C107" s="12" t="s">
        <v>72</v>
      </c>
      <c r="D107" s="13" t="str">
        <f>IF(OR(TabEmbargos[[#This Row],[Impedida sem Imissão na Posse]]="S",TabEmbargos[[#This Row],[Impedida com Imissão na Posse]]="S"),"E","L")</f>
        <v>L</v>
      </c>
      <c r="E107" s="13" t="str">
        <f>IF(COUNTIF(TabEmbargos[[#This Row],[Embargo Projeto]:[Embargo Meio Ambiente]],"S"),"S","N")</f>
        <v>N</v>
      </c>
      <c r="F107" s="13" t="str">
        <f>IF(AND(TabEmbargos[[#This Row],[Embargo Projeto]]="S",TabEmbargos[[#This Row],[Embargo Fundiário]]="S"),"S","N")</f>
        <v>N</v>
      </c>
      <c r="G107" s="13" t="s">
        <v>24</v>
      </c>
      <c r="H107" s="13" t="s">
        <v>21</v>
      </c>
      <c r="I107" s="13" t="s">
        <v>21</v>
      </c>
      <c r="J107" s="13" t="s">
        <v>21</v>
      </c>
      <c r="K107" s="13" t="s">
        <v>21</v>
      </c>
      <c r="L107" s="13" t="s">
        <v>21</v>
      </c>
      <c r="M107" s="13" t="s">
        <v>21</v>
      </c>
      <c r="N107" s="13" t="s">
        <v>21</v>
      </c>
      <c r="O107" s="13" t="s">
        <v>21</v>
      </c>
    </row>
    <row r="108" spans="1:15" x14ac:dyDescent="0.3">
      <c r="A108" s="11">
        <v>105</v>
      </c>
      <c r="B108" s="12" t="s">
        <v>137</v>
      </c>
      <c r="C108" s="12" t="s">
        <v>32</v>
      </c>
      <c r="D108" s="13" t="str">
        <f>IF(OR(TabEmbargos[[#This Row],[Impedida sem Imissão na Posse]]="S",TabEmbargos[[#This Row],[Impedida com Imissão na Posse]]="S"),"E","L")</f>
        <v>L</v>
      </c>
      <c r="E108" s="13" t="str">
        <f>IF(COUNTIF(TabEmbargos[[#This Row],[Embargo Projeto]:[Embargo Meio Ambiente]],"S"),"S","N")</f>
        <v>N</v>
      </c>
      <c r="F108" s="13" t="str">
        <f>IF(AND(TabEmbargos[[#This Row],[Embargo Projeto]]="S",TabEmbargos[[#This Row],[Embargo Fundiário]]="S"),"S","N")</f>
        <v>N</v>
      </c>
      <c r="G108" s="13" t="s">
        <v>21</v>
      </c>
      <c r="H108" s="13" t="s">
        <v>21</v>
      </c>
      <c r="I108" s="13" t="s">
        <v>21</v>
      </c>
      <c r="J108" s="13" t="s">
        <v>21</v>
      </c>
      <c r="K108" s="13" t="s">
        <v>21</v>
      </c>
      <c r="L108" s="13" t="s">
        <v>21</v>
      </c>
      <c r="M108" s="13" t="s">
        <v>21</v>
      </c>
      <c r="N108" s="13" t="s">
        <v>21</v>
      </c>
      <c r="O108" s="13" t="s">
        <v>21</v>
      </c>
    </row>
    <row r="109" spans="1:15" x14ac:dyDescent="0.3">
      <c r="A109" s="11">
        <v>106</v>
      </c>
      <c r="B109" s="12" t="s">
        <v>138</v>
      </c>
      <c r="C109" s="12" t="s">
        <v>32</v>
      </c>
      <c r="D109" s="13" t="str">
        <f>IF(OR(TabEmbargos[[#This Row],[Impedida sem Imissão na Posse]]="S",TabEmbargos[[#This Row],[Impedida com Imissão na Posse]]="S"),"E","L")</f>
        <v>L</v>
      </c>
      <c r="E109" s="13" t="str">
        <f>IF(COUNTIF(TabEmbargos[[#This Row],[Embargo Projeto]:[Embargo Meio Ambiente]],"S"),"S","N")</f>
        <v>N</v>
      </c>
      <c r="F109" s="13" t="str">
        <f>IF(AND(TabEmbargos[[#This Row],[Embargo Projeto]]="S",TabEmbargos[[#This Row],[Embargo Fundiário]]="S"),"S","N")</f>
        <v>N</v>
      </c>
      <c r="G109" s="13" t="s">
        <v>21</v>
      </c>
      <c r="H109" s="13" t="s">
        <v>21</v>
      </c>
      <c r="I109" s="13" t="s">
        <v>21</v>
      </c>
      <c r="J109" s="13" t="s">
        <v>21</v>
      </c>
      <c r="K109" s="13" t="s">
        <v>21</v>
      </c>
      <c r="L109" s="13" t="s">
        <v>21</v>
      </c>
      <c r="M109" s="13" t="s">
        <v>21</v>
      </c>
      <c r="N109" s="13" t="s">
        <v>21</v>
      </c>
      <c r="O109" s="13" t="s">
        <v>21</v>
      </c>
    </row>
    <row r="110" spans="1:15" x14ac:dyDescent="0.3">
      <c r="A110" s="11">
        <v>107</v>
      </c>
      <c r="B110" s="12" t="s">
        <v>139</v>
      </c>
      <c r="C110" s="12" t="s">
        <v>105</v>
      </c>
      <c r="D110" s="13" t="str">
        <f>IF(OR(TabEmbargos[[#This Row],[Impedida sem Imissão na Posse]]="S",TabEmbargos[[#This Row],[Impedida com Imissão na Posse]]="S"),"E","L")</f>
        <v>L</v>
      </c>
      <c r="E110" s="13" t="str">
        <f>IF(COUNTIF(TabEmbargos[[#This Row],[Embargo Projeto]:[Embargo Meio Ambiente]],"S"),"S","N")</f>
        <v>N</v>
      </c>
      <c r="F110" s="13" t="str">
        <f>IF(AND(TabEmbargos[[#This Row],[Embargo Projeto]]="S",TabEmbargos[[#This Row],[Embargo Fundiário]]="S"),"S","N")</f>
        <v>N</v>
      </c>
      <c r="G110" s="13" t="s">
        <v>21</v>
      </c>
      <c r="H110" s="13" t="s">
        <v>21</v>
      </c>
      <c r="I110" s="13" t="s">
        <v>21</v>
      </c>
      <c r="J110" s="13" t="s">
        <v>21</v>
      </c>
      <c r="K110" s="13" t="s">
        <v>21</v>
      </c>
      <c r="L110" s="13" t="s">
        <v>21</v>
      </c>
      <c r="M110" s="13" t="s">
        <v>21</v>
      </c>
      <c r="N110" s="13" t="s">
        <v>21</v>
      </c>
      <c r="O110" s="13" t="s">
        <v>21</v>
      </c>
    </row>
    <row r="111" spans="1:15" x14ac:dyDescent="0.3">
      <c r="A111" s="11">
        <v>108</v>
      </c>
      <c r="B111" s="12" t="s">
        <v>140</v>
      </c>
      <c r="C111" s="12" t="s">
        <v>32</v>
      </c>
      <c r="D111" s="13" t="str">
        <f>IF(OR(TabEmbargos[[#This Row],[Impedida sem Imissão na Posse]]="S",TabEmbargos[[#This Row],[Impedida com Imissão na Posse]]="S"),"E","L")</f>
        <v>L</v>
      </c>
      <c r="E111" s="13" t="str">
        <f>IF(COUNTIF(TabEmbargos[[#This Row],[Embargo Projeto]:[Embargo Meio Ambiente]],"S"),"S","N")</f>
        <v>N</v>
      </c>
      <c r="F111" s="13" t="str">
        <f>IF(AND(TabEmbargos[[#This Row],[Embargo Projeto]]="S",TabEmbargos[[#This Row],[Embargo Fundiário]]="S"),"S","N")</f>
        <v>N</v>
      </c>
      <c r="G111" s="13" t="s">
        <v>21</v>
      </c>
      <c r="H111" s="13" t="s">
        <v>21</v>
      </c>
      <c r="I111" s="13" t="s">
        <v>21</v>
      </c>
      <c r="J111" s="13" t="s">
        <v>21</v>
      </c>
      <c r="K111" s="13" t="s">
        <v>21</v>
      </c>
      <c r="L111" s="13" t="s">
        <v>21</v>
      </c>
      <c r="M111" s="13" t="s">
        <v>21</v>
      </c>
      <c r="N111" s="13" t="s">
        <v>21</v>
      </c>
      <c r="O111" s="13" t="s">
        <v>21</v>
      </c>
    </row>
    <row r="112" spans="1:15" x14ac:dyDescent="0.3">
      <c r="A112" s="11">
        <v>109</v>
      </c>
      <c r="B112" s="12" t="s">
        <v>141</v>
      </c>
      <c r="C112" s="12" t="s">
        <v>37</v>
      </c>
      <c r="D112" s="13" t="str">
        <f>IF(OR(TabEmbargos[[#This Row],[Impedida sem Imissão na Posse]]="S",TabEmbargos[[#This Row],[Impedida com Imissão na Posse]]="S"),"E","L")</f>
        <v>L</v>
      </c>
      <c r="E112" s="13" t="str">
        <f>IF(COUNTIF(TabEmbargos[[#This Row],[Embargo Projeto]:[Embargo Meio Ambiente]],"S"),"S","N")</f>
        <v>N</v>
      </c>
      <c r="F112" s="13" t="str">
        <f>IF(AND(TabEmbargos[[#This Row],[Embargo Projeto]]="S",TabEmbargos[[#This Row],[Embargo Fundiário]]="S"),"S","N")</f>
        <v>N</v>
      </c>
      <c r="G112" s="13" t="s">
        <v>21</v>
      </c>
      <c r="H112" s="13" t="s">
        <v>21</v>
      </c>
      <c r="I112" s="13" t="s">
        <v>21</v>
      </c>
      <c r="J112" s="13" t="s">
        <v>21</v>
      </c>
      <c r="K112" s="13" t="s">
        <v>21</v>
      </c>
      <c r="L112" s="13" t="s">
        <v>21</v>
      </c>
      <c r="M112" s="13" t="s">
        <v>21</v>
      </c>
      <c r="N112" s="13" t="s">
        <v>21</v>
      </c>
      <c r="O112" s="13" t="s">
        <v>21</v>
      </c>
    </row>
    <row r="113" spans="1:15" x14ac:dyDescent="0.3">
      <c r="A113" s="11">
        <v>110</v>
      </c>
      <c r="B113" s="12" t="s">
        <v>142</v>
      </c>
      <c r="C113" s="12" t="s">
        <v>37</v>
      </c>
      <c r="D113" s="13" t="str">
        <f>IF(OR(TabEmbargos[[#This Row],[Impedida sem Imissão na Posse]]="S",TabEmbargos[[#This Row],[Impedida com Imissão na Posse]]="S"),"E","L")</f>
        <v>L</v>
      </c>
      <c r="E113" s="13" t="str">
        <f>IF(COUNTIF(TabEmbargos[[#This Row],[Embargo Projeto]:[Embargo Meio Ambiente]],"S"),"S","N")</f>
        <v>N</v>
      </c>
      <c r="F113" s="13" t="str">
        <f>IF(AND(TabEmbargos[[#This Row],[Embargo Projeto]]="S",TabEmbargos[[#This Row],[Embargo Fundiário]]="S"),"S","N")</f>
        <v>N</v>
      </c>
      <c r="G113" s="13" t="s">
        <v>21</v>
      </c>
      <c r="H113" s="13" t="s">
        <v>21</v>
      </c>
      <c r="I113" s="13" t="s">
        <v>21</v>
      </c>
      <c r="J113" s="13" t="s">
        <v>21</v>
      </c>
      <c r="K113" s="13" t="s">
        <v>21</v>
      </c>
      <c r="L113" s="13" t="s">
        <v>21</v>
      </c>
      <c r="M113" s="13" t="s">
        <v>21</v>
      </c>
      <c r="N113" s="13" t="s">
        <v>21</v>
      </c>
      <c r="O113" s="13" t="s">
        <v>21</v>
      </c>
    </row>
    <row r="114" spans="1:15" x14ac:dyDescent="0.3">
      <c r="A114" s="11">
        <v>111</v>
      </c>
      <c r="B114" s="12" t="s">
        <v>143</v>
      </c>
      <c r="C114" s="12" t="s">
        <v>72</v>
      </c>
      <c r="D114" s="13" t="str">
        <f>IF(OR(TabEmbargos[[#This Row],[Impedida sem Imissão na Posse]]="S",TabEmbargos[[#This Row],[Impedida com Imissão na Posse]]="S"),"E","L")</f>
        <v>L</v>
      </c>
      <c r="E114" s="13" t="str">
        <f>IF(COUNTIF(TabEmbargos[[#This Row],[Embargo Projeto]:[Embargo Meio Ambiente]],"S"),"S","N")</f>
        <v>N</v>
      </c>
      <c r="F114" s="13" t="str">
        <f>IF(AND(TabEmbargos[[#This Row],[Embargo Projeto]]="S",TabEmbargos[[#This Row],[Embargo Fundiário]]="S"),"S","N")</f>
        <v>N</v>
      </c>
      <c r="G114" s="13" t="s">
        <v>21</v>
      </c>
      <c r="H114" s="13" t="s">
        <v>21</v>
      </c>
      <c r="I114" s="13" t="s">
        <v>21</v>
      </c>
      <c r="J114" s="13" t="s">
        <v>21</v>
      </c>
      <c r="K114" s="13" t="s">
        <v>21</v>
      </c>
      <c r="L114" s="13" t="s">
        <v>21</v>
      </c>
      <c r="M114" s="13" t="s">
        <v>21</v>
      </c>
      <c r="N114" s="13" t="s">
        <v>21</v>
      </c>
      <c r="O114" s="13" t="s">
        <v>21</v>
      </c>
    </row>
    <row r="115" spans="1:15" x14ac:dyDescent="0.3">
      <c r="A115" s="11">
        <v>112</v>
      </c>
      <c r="B115" s="12" t="s">
        <v>144</v>
      </c>
      <c r="C115" s="12" t="s">
        <v>105</v>
      </c>
      <c r="D115" s="13" t="str">
        <f>IF(OR(TabEmbargos[[#This Row],[Impedida sem Imissão na Posse]]="S",TabEmbargos[[#This Row],[Impedida com Imissão na Posse]]="S"),"E","L")</f>
        <v>L</v>
      </c>
      <c r="E115" s="13" t="str">
        <f>IF(COUNTIF(TabEmbargos[[#This Row],[Embargo Projeto]:[Embargo Meio Ambiente]],"S"),"S","N")</f>
        <v>N</v>
      </c>
      <c r="F115" s="13" t="str">
        <f>IF(AND(TabEmbargos[[#This Row],[Embargo Projeto]]="S",TabEmbargos[[#This Row],[Embargo Fundiário]]="S"),"S","N")</f>
        <v>N</v>
      </c>
      <c r="G115" s="13" t="s">
        <v>21</v>
      </c>
      <c r="H115" s="13" t="s">
        <v>21</v>
      </c>
      <c r="I115" s="13" t="s">
        <v>21</v>
      </c>
      <c r="J115" s="13" t="s">
        <v>21</v>
      </c>
      <c r="K115" s="13" t="s">
        <v>21</v>
      </c>
      <c r="L115" s="13" t="s">
        <v>21</v>
      </c>
      <c r="M115" s="13" t="s">
        <v>21</v>
      </c>
      <c r="N115" s="13" t="s">
        <v>21</v>
      </c>
      <c r="O115" s="13" t="s">
        <v>21</v>
      </c>
    </row>
    <row r="116" spans="1:15" x14ac:dyDescent="0.3">
      <c r="A116" s="11">
        <v>113</v>
      </c>
      <c r="B116" s="12" t="s">
        <v>145</v>
      </c>
      <c r="C116" s="12" t="s">
        <v>32</v>
      </c>
      <c r="D116" s="13" t="str">
        <f>IF(OR(TabEmbargos[[#This Row],[Impedida sem Imissão na Posse]]="S",TabEmbargos[[#This Row],[Impedida com Imissão na Posse]]="S"),"E","L")</f>
        <v>L</v>
      </c>
      <c r="E116" s="13" t="str">
        <f>IF(COUNTIF(TabEmbargos[[#This Row],[Embargo Projeto]:[Embargo Meio Ambiente]],"S"),"S","N")</f>
        <v>N</v>
      </c>
      <c r="F116" s="13" t="str">
        <f>IF(AND(TabEmbargos[[#This Row],[Embargo Projeto]]="S",TabEmbargos[[#This Row],[Embargo Fundiário]]="S"),"S","N")</f>
        <v>N</v>
      </c>
      <c r="G116" s="13" t="s">
        <v>21</v>
      </c>
      <c r="H116" s="13" t="s">
        <v>21</v>
      </c>
      <c r="I116" s="13" t="s">
        <v>21</v>
      </c>
      <c r="J116" s="13" t="s">
        <v>21</v>
      </c>
      <c r="K116" s="13" t="s">
        <v>21</v>
      </c>
      <c r="L116" s="13" t="s">
        <v>21</v>
      </c>
      <c r="M116" s="13" t="s">
        <v>21</v>
      </c>
      <c r="N116" s="13" t="s">
        <v>21</v>
      </c>
      <c r="O116" s="13" t="s">
        <v>21</v>
      </c>
    </row>
    <row r="117" spans="1:15" x14ac:dyDescent="0.3">
      <c r="A117" s="11">
        <v>114</v>
      </c>
      <c r="B117" s="12" t="s">
        <v>146</v>
      </c>
      <c r="C117" s="12" t="s">
        <v>30</v>
      </c>
      <c r="D117" s="13" t="str">
        <f>IF(OR(TabEmbargos[[#This Row],[Impedida sem Imissão na Posse]]="S",TabEmbargos[[#This Row],[Impedida com Imissão na Posse]]="S"),"E","L")</f>
        <v>L</v>
      </c>
      <c r="E117" s="13" t="str">
        <f>IF(COUNTIF(TabEmbargos[[#This Row],[Embargo Projeto]:[Embargo Meio Ambiente]],"S"),"S","N")</f>
        <v>N</v>
      </c>
      <c r="F117" s="13" t="str">
        <f>IF(AND(TabEmbargos[[#This Row],[Embargo Projeto]]="S",TabEmbargos[[#This Row],[Embargo Fundiário]]="S"),"S","N")</f>
        <v>N</v>
      </c>
      <c r="G117" s="13" t="s">
        <v>21</v>
      </c>
      <c r="H117" s="13" t="s">
        <v>21</v>
      </c>
      <c r="I117" s="13" t="s">
        <v>21</v>
      </c>
      <c r="J117" s="13" t="s">
        <v>21</v>
      </c>
      <c r="K117" s="13" t="s">
        <v>21</v>
      </c>
      <c r="L117" s="13" t="s">
        <v>21</v>
      </c>
      <c r="M117" s="13" t="s">
        <v>21</v>
      </c>
      <c r="N117" s="13" t="s">
        <v>21</v>
      </c>
      <c r="O117" s="13" t="s">
        <v>21</v>
      </c>
    </row>
    <row r="118" spans="1:15" x14ac:dyDescent="0.3">
      <c r="A118" s="11">
        <v>115</v>
      </c>
      <c r="B118" s="12" t="s">
        <v>147</v>
      </c>
      <c r="C118" s="12" t="s">
        <v>32</v>
      </c>
      <c r="D118" s="13" t="str">
        <f>IF(OR(TabEmbargos[[#This Row],[Impedida sem Imissão na Posse]]="S",TabEmbargos[[#This Row],[Impedida com Imissão na Posse]]="S"),"E","L")</f>
        <v>L</v>
      </c>
      <c r="E118" s="13" t="str">
        <f>IF(COUNTIF(TabEmbargos[[#This Row],[Embargo Projeto]:[Embargo Meio Ambiente]],"S"),"S","N")</f>
        <v>N</v>
      </c>
      <c r="F118" s="13" t="str">
        <f>IF(AND(TabEmbargos[[#This Row],[Embargo Projeto]]="S",TabEmbargos[[#This Row],[Embargo Fundiário]]="S"),"S","N")</f>
        <v>N</v>
      </c>
      <c r="G118" s="13" t="s">
        <v>21</v>
      </c>
      <c r="H118" s="13" t="s">
        <v>21</v>
      </c>
      <c r="I118" s="13" t="s">
        <v>21</v>
      </c>
      <c r="J118" s="13" t="s">
        <v>21</v>
      </c>
      <c r="K118" s="13" t="s">
        <v>21</v>
      </c>
      <c r="L118" s="13" t="s">
        <v>21</v>
      </c>
      <c r="M118" s="13" t="s">
        <v>21</v>
      </c>
      <c r="N118" s="13" t="s">
        <v>21</v>
      </c>
      <c r="O118" s="13" t="s">
        <v>21</v>
      </c>
    </row>
    <row r="119" spans="1:15" x14ac:dyDescent="0.3">
      <c r="A119" s="11">
        <v>116</v>
      </c>
      <c r="B119" s="12" t="s">
        <v>148</v>
      </c>
      <c r="C119" s="12" t="s">
        <v>72</v>
      </c>
      <c r="D119" s="13" t="str">
        <f>IF(OR(TabEmbargos[[#This Row],[Impedida sem Imissão na Posse]]="S",TabEmbargos[[#This Row],[Impedida com Imissão na Posse]]="S"),"E","L")</f>
        <v>L</v>
      </c>
      <c r="E119" s="13" t="str">
        <f>IF(COUNTIF(TabEmbargos[[#This Row],[Embargo Projeto]:[Embargo Meio Ambiente]],"S"),"S","N")</f>
        <v>N</v>
      </c>
      <c r="F119" s="13" t="str">
        <f>IF(AND(TabEmbargos[[#This Row],[Embargo Projeto]]="S",TabEmbargos[[#This Row],[Embargo Fundiário]]="S"),"S","N")</f>
        <v>N</v>
      </c>
      <c r="G119" s="13" t="s">
        <v>24</v>
      </c>
      <c r="H119" s="13" t="s">
        <v>21</v>
      </c>
      <c r="I119" s="13" t="s">
        <v>21</v>
      </c>
      <c r="J119" s="13" t="s">
        <v>21</v>
      </c>
      <c r="K119" s="13" t="s">
        <v>21</v>
      </c>
      <c r="L119" s="13" t="s">
        <v>21</v>
      </c>
      <c r="M119" s="13" t="s">
        <v>21</v>
      </c>
      <c r="N119" s="13" t="s">
        <v>21</v>
      </c>
      <c r="O119" s="13" t="s">
        <v>21</v>
      </c>
    </row>
    <row r="120" spans="1:15" x14ac:dyDescent="0.3">
      <c r="A120" s="11">
        <v>117</v>
      </c>
      <c r="B120" s="12" t="s">
        <v>149</v>
      </c>
      <c r="C120" s="12" t="s">
        <v>105</v>
      </c>
      <c r="D120" s="13" t="str">
        <f>IF(OR(TabEmbargos[[#This Row],[Impedida sem Imissão na Posse]]="S",TabEmbargos[[#This Row],[Impedida com Imissão na Posse]]="S"),"E","L")</f>
        <v>L</v>
      </c>
      <c r="E120" s="13" t="str">
        <f>IF(COUNTIF(TabEmbargos[[#This Row],[Embargo Projeto]:[Embargo Meio Ambiente]],"S"),"S","N")</f>
        <v>N</v>
      </c>
      <c r="F120" s="13" t="str">
        <f>IF(AND(TabEmbargos[[#This Row],[Embargo Projeto]]="S",TabEmbargos[[#This Row],[Embargo Fundiário]]="S"),"S","N")</f>
        <v>N</v>
      </c>
      <c r="G120" s="13" t="s">
        <v>21</v>
      </c>
      <c r="H120" s="13" t="s">
        <v>21</v>
      </c>
      <c r="I120" s="13" t="s">
        <v>21</v>
      </c>
      <c r="J120" s="13" t="s">
        <v>21</v>
      </c>
      <c r="K120" s="13" t="s">
        <v>21</v>
      </c>
      <c r="L120" s="13" t="s">
        <v>21</v>
      </c>
      <c r="M120" s="13" t="s">
        <v>21</v>
      </c>
      <c r="N120" s="13" t="s">
        <v>21</v>
      </c>
      <c r="O120" s="13" t="s">
        <v>21</v>
      </c>
    </row>
    <row r="121" spans="1:15" x14ac:dyDescent="0.3">
      <c r="A121" s="11">
        <v>118</v>
      </c>
      <c r="B121" s="12" t="s">
        <v>150</v>
      </c>
      <c r="C121" s="12" t="s">
        <v>37</v>
      </c>
      <c r="D121" s="13" t="str">
        <f>IF(OR(TabEmbargos[[#This Row],[Impedida sem Imissão na Posse]]="S",TabEmbargos[[#This Row],[Impedida com Imissão na Posse]]="S"),"E","L")</f>
        <v>L</v>
      </c>
      <c r="E121" s="13" t="str">
        <f>IF(COUNTIF(TabEmbargos[[#This Row],[Embargo Projeto]:[Embargo Meio Ambiente]],"S"),"S","N")</f>
        <v>N</v>
      </c>
      <c r="F121" s="13" t="str">
        <f>IF(AND(TabEmbargos[[#This Row],[Embargo Projeto]]="S",TabEmbargos[[#This Row],[Embargo Fundiário]]="S"),"S","N")</f>
        <v>N</v>
      </c>
      <c r="G121" s="13" t="s">
        <v>21</v>
      </c>
      <c r="H121" s="13" t="s">
        <v>21</v>
      </c>
      <c r="I121" s="13" t="s">
        <v>21</v>
      </c>
      <c r="J121" s="13" t="s">
        <v>21</v>
      </c>
      <c r="K121" s="13" t="s">
        <v>21</v>
      </c>
      <c r="L121" s="13" t="s">
        <v>21</v>
      </c>
      <c r="M121" s="13" t="s">
        <v>21</v>
      </c>
      <c r="N121" s="13" t="s">
        <v>21</v>
      </c>
      <c r="O121" s="13" t="s">
        <v>21</v>
      </c>
    </row>
    <row r="122" spans="1:15" x14ac:dyDescent="0.3">
      <c r="A122" s="15">
        <v>119</v>
      </c>
      <c r="B122" s="16" t="s">
        <v>151</v>
      </c>
      <c r="C122" s="12" t="s">
        <v>52</v>
      </c>
      <c r="D122" s="13" t="str">
        <f>IF(OR(TabEmbargos[[#This Row],[Impedida sem Imissão na Posse]]="S",TabEmbargos[[#This Row],[Impedida com Imissão na Posse]]="S"),"E","L")</f>
        <v>E</v>
      </c>
      <c r="E122" s="13" t="str">
        <f>IF(COUNTIF(TabEmbargos[[#This Row],[Embargo Projeto]:[Embargo Meio Ambiente]],"S"),"S","N")</f>
        <v>S</v>
      </c>
      <c r="F122" s="13" t="str">
        <f>IF(AND(TabEmbargos[[#This Row],[Embargo Projeto]]="S",TabEmbargos[[#This Row],[Embargo Fundiário]]="S"),"S","N")</f>
        <v>N</v>
      </c>
      <c r="G122" s="13" t="s">
        <v>24</v>
      </c>
      <c r="H122" s="13" t="s">
        <v>21</v>
      </c>
      <c r="I122" s="13" t="s">
        <v>21</v>
      </c>
      <c r="J122" s="13" t="s">
        <v>24</v>
      </c>
      <c r="K122" s="13" t="s">
        <v>21</v>
      </c>
      <c r="L122" s="13" t="s">
        <v>21</v>
      </c>
      <c r="M122" s="13" t="s">
        <v>21</v>
      </c>
      <c r="N122" s="13" t="s">
        <v>21</v>
      </c>
      <c r="O122" s="13" t="s">
        <v>21</v>
      </c>
    </row>
    <row r="123" spans="1:15" x14ac:dyDescent="0.3">
      <c r="A123" s="15">
        <v>120</v>
      </c>
      <c r="B123" s="12" t="s">
        <v>152</v>
      </c>
      <c r="C123" s="12" t="s">
        <v>52</v>
      </c>
      <c r="D123" s="13" t="str">
        <f>IF(OR(TabEmbargos[[#This Row],[Impedida sem Imissão na Posse]]="S",TabEmbargos[[#This Row],[Impedida com Imissão na Posse]]="S"),"E","L")</f>
        <v>E</v>
      </c>
      <c r="E123" s="13" t="str">
        <f>IF(COUNTIF(TabEmbargos[[#This Row],[Embargo Projeto]:[Embargo Meio Ambiente]],"S"),"S","N")</f>
        <v>S</v>
      </c>
      <c r="F123" s="13" t="str">
        <f>IF(AND(TabEmbargos[[#This Row],[Embargo Projeto]]="S",TabEmbargos[[#This Row],[Embargo Fundiário]]="S"),"S","N")</f>
        <v>N</v>
      </c>
      <c r="G123" s="13" t="s">
        <v>24</v>
      </c>
      <c r="H123" s="13" t="s">
        <v>21</v>
      </c>
      <c r="I123" s="13" t="s">
        <v>21</v>
      </c>
      <c r="J123" s="13" t="s">
        <v>24</v>
      </c>
      <c r="K123" s="13" t="s">
        <v>21</v>
      </c>
      <c r="L123" s="13" t="s">
        <v>21</v>
      </c>
      <c r="M123" s="13" t="s">
        <v>21</v>
      </c>
      <c r="N123" s="13" t="s">
        <v>21</v>
      </c>
      <c r="O123" s="13" t="s">
        <v>21</v>
      </c>
    </row>
    <row r="124" spans="1:15" x14ac:dyDescent="0.3">
      <c r="A124" s="15">
        <v>121</v>
      </c>
      <c r="B124" s="12" t="s">
        <v>153</v>
      </c>
      <c r="C124" s="12" t="s">
        <v>52</v>
      </c>
      <c r="D124" s="13" t="str">
        <f>IF(OR(TabEmbargos[[#This Row],[Impedida sem Imissão na Posse]]="S",TabEmbargos[[#This Row],[Impedida com Imissão na Posse]]="S"),"E","L")</f>
        <v>E</v>
      </c>
      <c r="E124" s="13" t="str">
        <f>IF(COUNTIF(TabEmbargos[[#This Row],[Embargo Projeto]:[Embargo Meio Ambiente]],"S"),"S","N")</f>
        <v>S</v>
      </c>
      <c r="F124" s="13" t="str">
        <f>IF(AND(TabEmbargos[[#This Row],[Embargo Projeto]]="S",TabEmbargos[[#This Row],[Embargo Fundiário]]="S"),"S","N")</f>
        <v>N</v>
      </c>
      <c r="G124" s="13" t="s">
        <v>21</v>
      </c>
      <c r="H124" s="13" t="s">
        <v>21</v>
      </c>
      <c r="I124" s="13" t="s">
        <v>21</v>
      </c>
      <c r="J124" s="13" t="s">
        <v>24</v>
      </c>
      <c r="K124" s="13" t="s">
        <v>21</v>
      </c>
      <c r="L124" s="13" t="s">
        <v>21</v>
      </c>
      <c r="M124" s="13" t="s">
        <v>21</v>
      </c>
      <c r="N124" s="13" t="s">
        <v>21</v>
      </c>
      <c r="O124" s="13" t="s">
        <v>21</v>
      </c>
    </row>
    <row r="125" spans="1:15" x14ac:dyDescent="0.3">
      <c r="A125" s="15">
        <v>122</v>
      </c>
      <c r="B125" s="12" t="s">
        <v>154</v>
      </c>
      <c r="C125" s="12" t="s">
        <v>26</v>
      </c>
      <c r="D125" s="13" t="str">
        <f>IF(OR(TabEmbargos[[#This Row],[Impedida sem Imissão na Posse]]="S",TabEmbargos[[#This Row],[Impedida com Imissão na Posse]]="S"),"E","L")</f>
        <v>L</v>
      </c>
      <c r="E125" s="13" t="str">
        <f>IF(COUNTIF(TabEmbargos[[#This Row],[Embargo Projeto]:[Embargo Meio Ambiente]],"S"),"S","N")</f>
        <v>N</v>
      </c>
      <c r="F125" s="13" t="str">
        <f>IF(AND(TabEmbargos[[#This Row],[Embargo Projeto]]="S",TabEmbargos[[#This Row],[Embargo Fundiário]]="S"),"S","N")</f>
        <v>N</v>
      </c>
      <c r="G125" s="13" t="s">
        <v>24</v>
      </c>
      <c r="H125" s="13" t="s">
        <v>21</v>
      </c>
      <c r="I125" s="13" t="s">
        <v>21</v>
      </c>
      <c r="J125" s="13" t="s">
        <v>21</v>
      </c>
      <c r="K125" s="13" t="s">
        <v>21</v>
      </c>
      <c r="L125" s="13" t="s">
        <v>21</v>
      </c>
      <c r="M125" s="13" t="s">
        <v>21</v>
      </c>
      <c r="N125" s="13" t="s">
        <v>21</v>
      </c>
      <c r="O125" s="13" t="s">
        <v>21</v>
      </c>
    </row>
    <row r="126" spans="1:15" x14ac:dyDescent="0.3">
      <c r="A126" s="15">
        <v>123</v>
      </c>
      <c r="B126" s="12" t="s">
        <v>155</v>
      </c>
      <c r="C126" s="12" t="s">
        <v>105</v>
      </c>
      <c r="D126" s="13" t="str">
        <f>IF(OR(TabEmbargos[[#This Row],[Impedida sem Imissão na Posse]]="S",TabEmbargos[[#This Row],[Impedida com Imissão na Posse]]="S"),"E","L")</f>
        <v>L</v>
      </c>
      <c r="E126" s="13" t="str">
        <f>IF(COUNTIF(TabEmbargos[[#This Row],[Embargo Projeto]:[Embargo Meio Ambiente]],"S"),"S","N")</f>
        <v>N</v>
      </c>
      <c r="F126" s="13" t="str">
        <f>IF(AND(TabEmbargos[[#This Row],[Embargo Projeto]]="S",TabEmbargos[[#This Row],[Embargo Fundiário]]="S"),"S","N")</f>
        <v>N</v>
      </c>
      <c r="G126" s="13" t="s">
        <v>24</v>
      </c>
      <c r="H126" s="13" t="s">
        <v>21</v>
      </c>
      <c r="I126" s="13" t="s">
        <v>21</v>
      </c>
      <c r="J126" s="13" t="s">
        <v>21</v>
      </c>
      <c r="K126" s="13" t="s">
        <v>21</v>
      </c>
      <c r="L126" s="13" t="s">
        <v>21</v>
      </c>
      <c r="M126" s="13" t="s">
        <v>21</v>
      </c>
      <c r="N126" s="13" t="s">
        <v>21</v>
      </c>
      <c r="O126" s="13" t="s">
        <v>21</v>
      </c>
    </row>
    <row r="127" spans="1:15" x14ac:dyDescent="0.3">
      <c r="A127" s="15">
        <v>124</v>
      </c>
      <c r="B127" s="12" t="s">
        <v>156</v>
      </c>
      <c r="C127" s="12" t="s">
        <v>72</v>
      </c>
      <c r="D127" s="13" t="str">
        <f>IF(OR(TabEmbargos[[#This Row],[Impedida sem Imissão na Posse]]="S",TabEmbargos[[#This Row],[Impedida com Imissão na Posse]]="S"),"E","L")</f>
        <v>L</v>
      </c>
      <c r="E127" s="13" t="str">
        <f>IF(COUNTIF(TabEmbargos[[#This Row],[Embargo Projeto]:[Embargo Meio Ambiente]],"S"),"S","N")</f>
        <v>N</v>
      </c>
      <c r="F127" s="13" t="str">
        <f>IF(AND(TabEmbargos[[#This Row],[Embargo Projeto]]="S",TabEmbargos[[#This Row],[Embargo Fundiário]]="S"),"S","N")</f>
        <v>N</v>
      </c>
      <c r="G127" s="13" t="s">
        <v>24</v>
      </c>
      <c r="H127" s="13" t="s">
        <v>21</v>
      </c>
      <c r="I127" s="13" t="s">
        <v>21</v>
      </c>
      <c r="J127" s="13" t="s">
        <v>21</v>
      </c>
      <c r="K127" s="13" t="s">
        <v>21</v>
      </c>
      <c r="L127" s="13" t="s">
        <v>21</v>
      </c>
      <c r="M127" s="13" t="s">
        <v>21</v>
      </c>
      <c r="N127" s="13" t="s">
        <v>21</v>
      </c>
      <c r="O127" s="13" t="s">
        <v>21</v>
      </c>
    </row>
    <row r="128" spans="1:15" x14ac:dyDescent="0.3">
      <c r="A128" s="15">
        <v>125</v>
      </c>
      <c r="B128" s="12" t="s">
        <v>157</v>
      </c>
      <c r="C128" s="12" t="s">
        <v>105</v>
      </c>
      <c r="D128" s="13" t="str">
        <f>IF(OR(TabEmbargos[[#This Row],[Impedida sem Imissão na Posse]]="S",TabEmbargos[[#This Row],[Impedida com Imissão na Posse]]="S"),"E","L")</f>
        <v>L</v>
      </c>
      <c r="E128" s="13" t="str">
        <f>IF(COUNTIF(TabEmbargos[[#This Row],[Embargo Projeto]:[Embargo Meio Ambiente]],"S"),"S","N")</f>
        <v>N</v>
      </c>
      <c r="F128" s="13" t="str">
        <f>IF(AND(TabEmbargos[[#This Row],[Embargo Projeto]]="S",TabEmbargos[[#This Row],[Embargo Fundiário]]="S"),"S","N")</f>
        <v>N</v>
      </c>
      <c r="G128" s="13" t="s">
        <v>21</v>
      </c>
      <c r="H128" s="13" t="s">
        <v>21</v>
      </c>
      <c r="I128" s="13" t="s">
        <v>21</v>
      </c>
      <c r="J128" s="13" t="s">
        <v>21</v>
      </c>
      <c r="K128" s="13" t="s">
        <v>21</v>
      </c>
      <c r="L128" s="13" t="s">
        <v>21</v>
      </c>
      <c r="M128" s="13" t="s">
        <v>21</v>
      </c>
      <c r="N128" s="13" t="s">
        <v>21</v>
      </c>
      <c r="O128" s="13" t="s">
        <v>21</v>
      </c>
    </row>
    <row r="129" spans="1:15" x14ac:dyDescent="0.3">
      <c r="A129" s="15">
        <v>126</v>
      </c>
      <c r="B129" s="12" t="s">
        <v>158</v>
      </c>
      <c r="C129" s="12" t="s">
        <v>37</v>
      </c>
      <c r="D129" s="13" t="str">
        <f>IF(OR(TabEmbargos[[#This Row],[Impedida sem Imissão na Posse]]="S",TabEmbargos[[#This Row],[Impedida com Imissão na Posse]]="S"),"E","L")</f>
        <v>L</v>
      </c>
      <c r="E129" s="13" t="str">
        <f>IF(COUNTIF(TabEmbargos[[#This Row],[Embargo Projeto]:[Embargo Meio Ambiente]],"S"),"S","N")</f>
        <v>N</v>
      </c>
      <c r="F129" s="13" t="str">
        <f>IF(AND(TabEmbargos[[#This Row],[Embargo Projeto]]="S",TabEmbargos[[#This Row],[Embargo Fundiário]]="S"),"S","N")</f>
        <v>N</v>
      </c>
      <c r="G129" s="13" t="s">
        <v>24</v>
      </c>
      <c r="H129" s="13" t="s">
        <v>21</v>
      </c>
      <c r="I129" s="13" t="s">
        <v>21</v>
      </c>
      <c r="J129" s="13" t="s">
        <v>21</v>
      </c>
      <c r="K129" s="13" t="s">
        <v>21</v>
      </c>
      <c r="L129" s="13" t="s">
        <v>21</v>
      </c>
      <c r="M129" s="13" t="s">
        <v>21</v>
      </c>
      <c r="N129" s="13" t="s">
        <v>21</v>
      </c>
      <c r="O129" s="13" t="s">
        <v>21</v>
      </c>
    </row>
    <row r="130" spans="1:15" x14ac:dyDescent="0.3">
      <c r="A130" s="15">
        <v>127</v>
      </c>
      <c r="B130" s="12" t="s">
        <v>159</v>
      </c>
      <c r="C130" s="12" t="s">
        <v>105</v>
      </c>
      <c r="D130" s="13" t="str">
        <f>IF(OR(TabEmbargos[[#This Row],[Impedida sem Imissão na Posse]]="S",TabEmbargos[[#This Row],[Impedida com Imissão na Posse]]="S"),"E","L")</f>
        <v>L</v>
      </c>
      <c r="E130" s="13" t="str">
        <f>IF(COUNTIF(TabEmbargos[[#This Row],[Embargo Projeto]:[Embargo Meio Ambiente]],"S"),"S","N")</f>
        <v>N</v>
      </c>
      <c r="F130" s="13" t="str">
        <f>IF(AND(TabEmbargos[[#This Row],[Embargo Projeto]]="S",TabEmbargos[[#This Row],[Embargo Fundiário]]="S"),"S","N")</f>
        <v>N</v>
      </c>
      <c r="G130" s="13" t="s">
        <v>21</v>
      </c>
      <c r="H130" s="13" t="s">
        <v>21</v>
      </c>
      <c r="I130" s="13" t="s">
        <v>21</v>
      </c>
      <c r="J130" s="13" t="s">
        <v>21</v>
      </c>
      <c r="K130" s="13" t="s">
        <v>21</v>
      </c>
      <c r="L130" s="13" t="s">
        <v>21</v>
      </c>
      <c r="M130" s="13" t="s">
        <v>21</v>
      </c>
      <c r="N130" s="13" t="s">
        <v>21</v>
      </c>
      <c r="O130" s="13" t="s">
        <v>21</v>
      </c>
    </row>
    <row r="131" spans="1:15" x14ac:dyDescent="0.3">
      <c r="A131" s="15">
        <v>128</v>
      </c>
      <c r="B131" s="12" t="s">
        <v>160</v>
      </c>
      <c r="C131" s="12" t="s">
        <v>105</v>
      </c>
      <c r="D131" s="13" t="str">
        <f>IF(OR(TabEmbargos[[#This Row],[Impedida sem Imissão na Posse]]="S",TabEmbargos[[#This Row],[Impedida com Imissão na Posse]]="S"),"E","L")</f>
        <v>L</v>
      </c>
      <c r="E131" s="13" t="str">
        <f>IF(COUNTIF(TabEmbargos[[#This Row],[Embargo Projeto]:[Embargo Meio Ambiente]],"S"),"S","N")</f>
        <v>N</v>
      </c>
      <c r="F131" s="13" t="str">
        <f>IF(AND(TabEmbargos[[#This Row],[Embargo Projeto]]="S",TabEmbargos[[#This Row],[Embargo Fundiário]]="S"),"S","N")</f>
        <v>N</v>
      </c>
      <c r="G131" s="13" t="s">
        <v>21</v>
      </c>
      <c r="H131" s="13" t="s">
        <v>21</v>
      </c>
      <c r="I131" s="13" t="s">
        <v>21</v>
      </c>
      <c r="J131" s="13" t="s">
        <v>21</v>
      </c>
      <c r="K131" s="13" t="s">
        <v>21</v>
      </c>
      <c r="L131" s="13" t="s">
        <v>21</v>
      </c>
      <c r="M131" s="13" t="s">
        <v>21</v>
      </c>
      <c r="N131" s="13" t="s">
        <v>21</v>
      </c>
      <c r="O131" s="13" t="s">
        <v>21</v>
      </c>
    </row>
    <row r="132" spans="1:15" x14ac:dyDescent="0.3">
      <c r="A132" s="15">
        <v>129</v>
      </c>
      <c r="B132" s="12" t="s">
        <v>161</v>
      </c>
      <c r="C132" s="12" t="s">
        <v>52</v>
      </c>
      <c r="D132" s="13" t="str">
        <f>IF(OR(TabEmbargos[[#This Row],[Impedida sem Imissão na Posse]]="S",TabEmbargos[[#This Row],[Impedida com Imissão na Posse]]="S"),"E","L")</f>
        <v>L</v>
      </c>
      <c r="E132" s="13" t="str">
        <f>IF(COUNTIF(TabEmbargos[[#This Row],[Embargo Projeto]:[Embargo Meio Ambiente]],"S"),"S","N")</f>
        <v>N</v>
      </c>
      <c r="F132" s="13" t="str">
        <f>IF(AND(TabEmbargos[[#This Row],[Embargo Projeto]]="S",TabEmbargos[[#This Row],[Embargo Fundiário]]="S"),"S","N")</f>
        <v>N</v>
      </c>
      <c r="G132" s="13" t="s">
        <v>24</v>
      </c>
      <c r="H132" s="13" t="s">
        <v>21</v>
      </c>
      <c r="I132" s="13" t="s">
        <v>21</v>
      </c>
      <c r="J132" s="13" t="s">
        <v>21</v>
      </c>
      <c r="K132" s="13" t="s">
        <v>21</v>
      </c>
      <c r="L132" s="13" t="s">
        <v>21</v>
      </c>
      <c r="M132" s="13" t="s">
        <v>21</v>
      </c>
      <c r="N132" s="13" t="s">
        <v>21</v>
      </c>
      <c r="O132" s="13" t="s">
        <v>21</v>
      </c>
    </row>
    <row r="133" spans="1:15" x14ac:dyDescent="0.3">
      <c r="A133" s="15">
        <v>130</v>
      </c>
      <c r="B133" s="12" t="s">
        <v>162</v>
      </c>
      <c r="C133" s="12" t="s">
        <v>52</v>
      </c>
      <c r="D133" s="13" t="str">
        <f>IF(OR(TabEmbargos[[#This Row],[Impedida sem Imissão na Posse]]="S",TabEmbargos[[#This Row],[Impedida com Imissão na Posse]]="S"),"E","L")</f>
        <v>E</v>
      </c>
      <c r="E133" s="13" t="str">
        <f>IF(COUNTIF(TabEmbargos[[#This Row],[Embargo Projeto]:[Embargo Meio Ambiente]],"S"),"S","N")</f>
        <v>S</v>
      </c>
      <c r="F133" s="13" t="str">
        <f>IF(AND(TabEmbargos[[#This Row],[Embargo Projeto]]="S",TabEmbargos[[#This Row],[Embargo Fundiário]]="S"),"S","N")</f>
        <v>N</v>
      </c>
      <c r="G133" s="13" t="s">
        <v>24</v>
      </c>
      <c r="H133" s="13" t="s">
        <v>21</v>
      </c>
      <c r="I133" s="13" t="s">
        <v>21</v>
      </c>
      <c r="J133" s="13" t="s">
        <v>24</v>
      </c>
      <c r="K133" s="13" t="s">
        <v>21</v>
      </c>
      <c r="L133" s="13" t="s">
        <v>21</v>
      </c>
      <c r="M133" s="13" t="s">
        <v>21</v>
      </c>
      <c r="N133" s="13" t="s">
        <v>21</v>
      </c>
      <c r="O133" s="13" t="s">
        <v>21</v>
      </c>
    </row>
    <row r="134" spans="1:15" x14ac:dyDescent="0.3">
      <c r="A134" s="15">
        <v>131</v>
      </c>
      <c r="B134" s="12" t="s">
        <v>163</v>
      </c>
      <c r="C134" s="12" t="s">
        <v>32</v>
      </c>
      <c r="D134" s="13" t="str">
        <f>IF(OR(TabEmbargos[[#This Row],[Impedida sem Imissão na Posse]]="S",TabEmbargos[[#This Row],[Impedida com Imissão na Posse]]="S"),"E","L")</f>
        <v>E</v>
      </c>
      <c r="E134" s="13" t="str">
        <f>IF(COUNTIF(TabEmbargos[[#This Row],[Embargo Projeto]:[Embargo Meio Ambiente]],"S"),"S","N")</f>
        <v>S</v>
      </c>
      <c r="F134" s="13" t="str">
        <f>IF(AND(TabEmbargos[[#This Row],[Embargo Projeto]]="S",TabEmbargos[[#This Row],[Embargo Fundiário]]="S"),"S","N")</f>
        <v>N</v>
      </c>
      <c r="G134" s="13" t="s">
        <v>21</v>
      </c>
      <c r="H134" s="13" t="s">
        <v>21</v>
      </c>
      <c r="I134" s="13" t="s">
        <v>21</v>
      </c>
      <c r="J134" s="13" t="s">
        <v>24</v>
      </c>
      <c r="K134" s="13" t="s">
        <v>21</v>
      </c>
      <c r="L134" s="13" t="s">
        <v>21</v>
      </c>
      <c r="M134" s="13" t="s">
        <v>21</v>
      </c>
      <c r="N134" s="13" t="s">
        <v>21</v>
      </c>
      <c r="O134" s="13" t="s">
        <v>21</v>
      </c>
    </row>
    <row r="135" spans="1:15" x14ac:dyDescent="0.3">
      <c r="A135" s="15">
        <v>132</v>
      </c>
      <c r="B135" s="12" t="s">
        <v>164</v>
      </c>
      <c r="C135" s="12" t="s">
        <v>32</v>
      </c>
      <c r="D135" s="13" t="str">
        <f>IF(OR(TabEmbargos[[#This Row],[Impedida sem Imissão na Posse]]="S",TabEmbargos[[#This Row],[Impedida com Imissão na Posse]]="S"),"E","L")</f>
        <v>E</v>
      </c>
      <c r="E135" s="13" t="str">
        <f>IF(COUNTIF(TabEmbargos[[#This Row],[Embargo Projeto]:[Embargo Meio Ambiente]],"S"),"S","N")</f>
        <v>S</v>
      </c>
      <c r="F135" s="13" t="str">
        <f>IF(AND(TabEmbargos[[#This Row],[Embargo Projeto]]="S",TabEmbargos[[#This Row],[Embargo Fundiário]]="S"),"S","N")</f>
        <v>N</v>
      </c>
      <c r="G135" s="13" t="s">
        <v>21</v>
      </c>
      <c r="H135" s="13" t="s">
        <v>21</v>
      </c>
      <c r="I135" s="13" t="s">
        <v>21</v>
      </c>
      <c r="J135" s="13" t="s">
        <v>24</v>
      </c>
      <c r="K135" s="13" t="s">
        <v>21</v>
      </c>
      <c r="L135" s="13" t="s">
        <v>21</v>
      </c>
      <c r="M135" s="13" t="s">
        <v>21</v>
      </c>
      <c r="N135" s="13" t="s">
        <v>21</v>
      </c>
      <c r="O135" s="13" t="s">
        <v>21</v>
      </c>
    </row>
    <row r="136" spans="1:15" x14ac:dyDescent="0.3">
      <c r="A136" s="15">
        <v>133</v>
      </c>
      <c r="B136" s="12" t="s">
        <v>165</v>
      </c>
      <c r="C136" s="12" t="s">
        <v>37</v>
      </c>
      <c r="D136" s="13" t="str">
        <f>IF(OR(TabEmbargos[[#This Row],[Impedida sem Imissão na Posse]]="S",TabEmbargos[[#This Row],[Impedida com Imissão na Posse]]="S"),"E","L")</f>
        <v>L</v>
      </c>
      <c r="E136" s="13" t="str">
        <f>IF(COUNTIF(TabEmbargos[[#This Row],[Embargo Projeto]:[Embargo Meio Ambiente]],"S"),"S","N")</f>
        <v>N</v>
      </c>
      <c r="F136" s="13" t="str">
        <f>IF(AND(TabEmbargos[[#This Row],[Embargo Projeto]]="S",TabEmbargos[[#This Row],[Embargo Fundiário]]="S"),"S","N")</f>
        <v>N</v>
      </c>
      <c r="G136" s="13" t="s">
        <v>21</v>
      </c>
      <c r="H136" s="13" t="s">
        <v>21</v>
      </c>
      <c r="I136" s="13" t="s">
        <v>21</v>
      </c>
      <c r="J136" s="13" t="s">
        <v>21</v>
      </c>
      <c r="K136" s="13" t="s">
        <v>21</v>
      </c>
      <c r="L136" s="13" t="s">
        <v>21</v>
      </c>
      <c r="M136" s="13" t="s">
        <v>21</v>
      </c>
      <c r="N136" s="13" t="s">
        <v>21</v>
      </c>
      <c r="O136" s="13" t="s">
        <v>21</v>
      </c>
    </row>
    <row r="137" spans="1:15" x14ac:dyDescent="0.3">
      <c r="A137" s="15">
        <v>134</v>
      </c>
      <c r="B137" s="12" t="s">
        <v>166</v>
      </c>
      <c r="C137" s="12" t="s">
        <v>105</v>
      </c>
      <c r="D137" s="13" t="str">
        <f>IF(OR(TabEmbargos[[#This Row],[Impedida sem Imissão na Posse]]="S",TabEmbargos[[#This Row],[Impedida com Imissão na Posse]]="S"),"E","L")</f>
        <v>L</v>
      </c>
      <c r="E137" s="13" t="str">
        <f>IF(COUNTIF(TabEmbargos[[#This Row],[Embargo Projeto]:[Embargo Meio Ambiente]],"S"),"S","N")</f>
        <v>N</v>
      </c>
      <c r="F137" s="13" t="str">
        <f>IF(AND(TabEmbargos[[#This Row],[Embargo Projeto]]="S",TabEmbargos[[#This Row],[Embargo Fundiário]]="S"),"S","N")</f>
        <v>N</v>
      </c>
      <c r="G137" s="13" t="s">
        <v>24</v>
      </c>
      <c r="H137" s="13" t="s">
        <v>21</v>
      </c>
      <c r="I137" s="13" t="s">
        <v>21</v>
      </c>
      <c r="J137" s="13" t="s">
        <v>21</v>
      </c>
      <c r="K137" s="13" t="s">
        <v>21</v>
      </c>
      <c r="L137" s="13" t="s">
        <v>21</v>
      </c>
      <c r="M137" s="13" t="s">
        <v>21</v>
      </c>
      <c r="N137" s="13" t="s">
        <v>21</v>
      </c>
      <c r="O137" s="13" t="s">
        <v>21</v>
      </c>
    </row>
    <row r="138" spans="1:15" x14ac:dyDescent="0.3">
      <c r="A138" s="15">
        <v>135</v>
      </c>
      <c r="B138" s="12" t="s">
        <v>167</v>
      </c>
      <c r="C138" s="12" t="s">
        <v>26</v>
      </c>
      <c r="D138" s="13" t="str">
        <f>IF(OR(TabEmbargos[[#This Row],[Impedida sem Imissão na Posse]]="S",TabEmbargos[[#This Row],[Impedida com Imissão na Posse]]="S"),"E","L")</f>
        <v>L</v>
      </c>
      <c r="E138" s="13" t="str">
        <f>IF(COUNTIF(TabEmbargos[[#This Row],[Embargo Projeto]:[Embargo Meio Ambiente]],"S"),"S","N")</f>
        <v>N</v>
      </c>
      <c r="F138" s="13" t="str">
        <f>IF(AND(TabEmbargos[[#This Row],[Embargo Projeto]]="S",TabEmbargos[[#This Row],[Embargo Fundiário]]="S"),"S","N")</f>
        <v>N</v>
      </c>
      <c r="G138" s="13" t="s">
        <v>24</v>
      </c>
      <c r="H138" s="13" t="s">
        <v>21</v>
      </c>
      <c r="I138" s="13" t="s">
        <v>21</v>
      </c>
      <c r="J138" s="13" t="s">
        <v>21</v>
      </c>
      <c r="K138" s="13" t="s">
        <v>21</v>
      </c>
      <c r="L138" s="13" t="s">
        <v>21</v>
      </c>
      <c r="M138" s="13" t="s">
        <v>21</v>
      </c>
      <c r="N138" s="13" t="s">
        <v>21</v>
      </c>
      <c r="O138" s="13" t="s">
        <v>21</v>
      </c>
    </row>
    <row r="139" spans="1:15" x14ac:dyDescent="0.3">
      <c r="A139" s="15">
        <v>136</v>
      </c>
      <c r="B139" s="12" t="s">
        <v>168</v>
      </c>
      <c r="C139" s="12" t="s">
        <v>37</v>
      </c>
      <c r="D139" s="13" t="str">
        <f>IF(OR(TabEmbargos[[#This Row],[Impedida sem Imissão na Posse]]="S",TabEmbargos[[#This Row],[Impedida com Imissão na Posse]]="S"),"E","L")</f>
        <v>L</v>
      </c>
      <c r="E139" s="13" t="str">
        <f>IF(COUNTIF(TabEmbargos[[#This Row],[Embargo Projeto]:[Embargo Meio Ambiente]],"S"),"S","N")</f>
        <v>N</v>
      </c>
      <c r="F139" s="13" t="str">
        <f>IF(AND(TabEmbargos[[#This Row],[Embargo Projeto]]="S",TabEmbargos[[#This Row],[Embargo Fundiário]]="S"),"S","N")</f>
        <v>N</v>
      </c>
      <c r="G139" s="13" t="s">
        <v>24</v>
      </c>
      <c r="H139" s="13" t="s">
        <v>21</v>
      </c>
      <c r="I139" s="13" t="s">
        <v>21</v>
      </c>
      <c r="J139" s="13" t="s">
        <v>21</v>
      </c>
      <c r="K139" s="13" t="s">
        <v>21</v>
      </c>
      <c r="L139" s="13" t="s">
        <v>21</v>
      </c>
      <c r="M139" s="13" t="s">
        <v>21</v>
      </c>
      <c r="N139" s="13" t="s">
        <v>21</v>
      </c>
      <c r="O139" s="13" t="s">
        <v>21</v>
      </c>
    </row>
    <row r="140" spans="1:15" x14ac:dyDescent="0.3">
      <c r="A140" s="15">
        <v>137</v>
      </c>
      <c r="B140" s="12" t="s">
        <v>169</v>
      </c>
      <c r="C140" s="12" t="s">
        <v>32</v>
      </c>
      <c r="D140" s="13" t="str">
        <f>IF(OR(TabEmbargos[[#This Row],[Impedida sem Imissão na Posse]]="S",TabEmbargos[[#This Row],[Impedida com Imissão na Posse]]="S"),"E","L")</f>
        <v>L</v>
      </c>
      <c r="E140" s="13" t="str">
        <f>IF(COUNTIF(TabEmbargos[[#This Row],[Embargo Projeto]:[Embargo Meio Ambiente]],"S"),"S","N")</f>
        <v>N</v>
      </c>
      <c r="F140" s="13" t="str">
        <f>IF(AND(TabEmbargos[[#This Row],[Embargo Projeto]]="S",TabEmbargos[[#This Row],[Embargo Fundiário]]="S"),"S","N")</f>
        <v>N</v>
      </c>
      <c r="G140" s="13" t="s">
        <v>21</v>
      </c>
      <c r="H140" s="13" t="s">
        <v>21</v>
      </c>
      <c r="I140" s="13" t="s">
        <v>21</v>
      </c>
      <c r="J140" s="13" t="s">
        <v>21</v>
      </c>
      <c r="K140" s="13" t="s">
        <v>21</v>
      </c>
      <c r="L140" s="13" t="s">
        <v>21</v>
      </c>
      <c r="M140" s="13" t="s">
        <v>21</v>
      </c>
      <c r="N140" s="13" t="s">
        <v>21</v>
      </c>
      <c r="O140" s="13" t="s">
        <v>21</v>
      </c>
    </row>
    <row r="141" spans="1:15" x14ac:dyDescent="0.3">
      <c r="A141" s="15">
        <v>138</v>
      </c>
      <c r="B141" s="12" t="s">
        <v>170</v>
      </c>
      <c r="C141" s="12" t="s">
        <v>72</v>
      </c>
      <c r="D141" s="13" t="str">
        <f>IF(OR(TabEmbargos[[#This Row],[Impedida sem Imissão na Posse]]="S",TabEmbargos[[#This Row],[Impedida com Imissão na Posse]]="S"),"E","L")</f>
        <v>L</v>
      </c>
      <c r="E141" s="13" t="str">
        <f>IF(COUNTIF(TabEmbargos[[#This Row],[Embargo Projeto]:[Embargo Meio Ambiente]],"S"),"S","N")</f>
        <v>N</v>
      </c>
      <c r="F141" s="13" t="str">
        <f>IF(AND(TabEmbargos[[#This Row],[Embargo Projeto]]="S",TabEmbargos[[#This Row],[Embargo Fundiário]]="S"),"S","N")</f>
        <v>N</v>
      </c>
      <c r="G141" s="13" t="s">
        <v>21</v>
      </c>
      <c r="H141" s="13" t="s">
        <v>21</v>
      </c>
      <c r="I141" s="13" t="s">
        <v>21</v>
      </c>
      <c r="J141" s="13" t="s">
        <v>21</v>
      </c>
      <c r="K141" s="13" t="s">
        <v>21</v>
      </c>
      <c r="L141" s="13" t="s">
        <v>21</v>
      </c>
      <c r="M141" s="13" t="s">
        <v>21</v>
      </c>
      <c r="N141" s="13" t="s">
        <v>21</v>
      </c>
      <c r="O141" s="13" t="s">
        <v>21</v>
      </c>
    </row>
    <row r="142" spans="1:15" x14ac:dyDescent="0.3">
      <c r="A142" s="15">
        <v>139</v>
      </c>
      <c r="B142" s="12" t="s">
        <v>171</v>
      </c>
      <c r="C142" s="12" t="s">
        <v>105</v>
      </c>
      <c r="D142" s="13" t="str">
        <f>IF(OR(TabEmbargos[[#This Row],[Impedida sem Imissão na Posse]]="S",TabEmbargos[[#This Row],[Impedida com Imissão na Posse]]="S"),"E","L")</f>
        <v>L</v>
      </c>
      <c r="E142" s="13" t="str">
        <f>IF(COUNTIF(TabEmbargos[[#This Row],[Embargo Projeto]:[Embargo Meio Ambiente]],"S"),"S","N")</f>
        <v>N</v>
      </c>
      <c r="F142" s="13" t="str">
        <f>IF(AND(TabEmbargos[[#This Row],[Embargo Projeto]]="S",TabEmbargos[[#This Row],[Embargo Fundiário]]="S"),"S","N")</f>
        <v>N</v>
      </c>
      <c r="G142" s="13" t="s">
        <v>24</v>
      </c>
      <c r="H142" s="13" t="s">
        <v>21</v>
      </c>
      <c r="I142" s="13" t="s">
        <v>21</v>
      </c>
      <c r="J142" s="13" t="s">
        <v>21</v>
      </c>
      <c r="K142" s="13" t="s">
        <v>21</v>
      </c>
      <c r="L142" s="13" t="s">
        <v>21</v>
      </c>
      <c r="M142" s="13" t="s">
        <v>21</v>
      </c>
      <c r="N142" s="13" t="s">
        <v>21</v>
      </c>
      <c r="O142" s="13" t="s">
        <v>21</v>
      </c>
    </row>
    <row r="143" spans="1:15" x14ac:dyDescent="0.3">
      <c r="A143" s="15">
        <v>140</v>
      </c>
      <c r="B143" s="12" t="s">
        <v>172</v>
      </c>
      <c r="C143" s="12" t="s">
        <v>37</v>
      </c>
      <c r="D143" s="13" t="str">
        <f>IF(OR(TabEmbargos[[#This Row],[Impedida sem Imissão na Posse]]="S",TabEmbargos[[#This Row],[Impedida com Imissão na Posse]]="S"),"E","L")</f>
        <v>L</v>
      </c>
      <c r="E143" s="13" t="str">
        <f>IF(COUNTIF(TabEmbargos[[#This Row],[Embargo Projeto]:[Embargo Meio Ambiente]],"S"),"S","N")</f>
        <v>N</v>
      </c>
      <c r="F143" s="13" t="str">
        <f>IF(AND(TabEmbargos[[#This Row],[Embargo Projeto]]="S",TabEmbargos[[#This Row],[Embargo Fundiário]]="S"),"S","N")</f>
        <v>N</v>
      </c>
      <c r="G143" s="13" t="s">
        <v>24</v>
      </c>
      <c r="H143" s="13" t="s">
        <v>21</v>
      </c>
      <c r="I143" s="13" t="s">
        <v>21</v>
      </c>
      <c r="J143" s="13" t="s">
        <v>21</v>
      </c>
      <c r="K143" s="13" t="s">
        <v>21</v>
      </c>
      <c r="L143" s="13" t="s">
        <v>21</v>
      </c>
      <c r="M143" s="13" t="s">
        <v>21</v>
      </c>
      <c r="N143" s="13" t="s">
        <v>21</v>
      </c>
      <c r="O143" s="13" t="s">
        <v>21</v>
      </c>
    </row>
    <row r="144" spans="1:15" x14ac:dyDescent="0.3">
      <c r="A144" s="15">
        <v>141</v>
      </c>
      <c r="B144" s="12" t="s">
        <v>173</v>
      </c>
      <c r="C144" s="12" t="s">
        <v>72</v>
      </c>
      <c r="D144" s="13" t="str">
        <f>IF(OR(TabEmbargos[[#This Row],[Impedida sem Imissão na Posse]]="S",TabEmbargos[[#This Row],[Impedida com Imissão na Posse]]="S"),"E","L")</f>
        <v>E</v>
      </c>
      <c r="E144" s="13" t="str">
        <f>IF(COUNTIF(TabEmbargos[[#This Row],[Embargo Projeto]:[Embargo Meio Ambiente]],"S"),"S","N")</f>
        <v>S</v>
      </c>
      <c r="F144" s="13" t="str">
        <f>IF(AND(TabEmbargos[[#This Row],[Embargo Projeto]]="S",TabEmbargos[[#This Row],[Embargo Fundiário]]="S"),"S","N")</f>
        <v>N</v>
      </c>
      <c r="G144" s="13" t="s">
        <v>21</v>
      </c>
      <c r="H144" s="13" t="s">
        <v>21</v>
      </c>
      <c r="I144" s="13" t="s">
        <v>21</v>
      </c>
      <c r="J144" s="13" t="s">
        <v>24</v>
      </c>
      <c r="K144" s="13" t="s">
        <v>21</v>
      </c>
      <c r="L144" s="13" t="s">
        <v>21</v>
      </c>
      <c r="M144" s="13" t="s">
        <v>21</v>
      </c>
      <c r="N144" s="13" t="s">
        <v>21</v>
      </c>
      <c r="O144" s="13" t="s">
        <v>21</v>
      </c>
    </row>
    <row r="145" spans="1:15" x14ac:dyDescent="0.3">
      <c r="A145" s="15">
        <v>142</v>
      </c>
      <c r="B145" s="12" t="s">
        <v>174</v>
      </c>
      <c r="C145" s="12" t="s">
        <v>105</v>
      </c>
      <c r="D145" s="13" t="str">
        <f>IF(OR(TabEmbargos[[#This Row],[Impedida sem Imissão na Posse]]="S",TabEmbargos[[#This Row],[Impedida com Imissão na Posse]]="S"),"E","L")</f>
        <v>L</v>
      </c>
      <c r="E145" s="13" t="str">
        <f>IF(COUNTIF(TabEmbargos[[#This Row],[Embargo Projeto]:[Embargo Meio Ambiente]],"S"),"S","N")</f>
        <v>N</v>
      </c>
      <c r="F145" s="13" t="str">
        <f>IF(AND(TabEmbargos[[#This Row],[Embargo Projeto]]="S",TabEmbargos[[#This Row],[Embargo Fundiário]]="S"),"S","N")</f>
        <v>N</v>
      </c>
      <c r="G145" s="13" t="s">
        <v>24</v>
      </c>
      <c r="H145" s="13" t="s">
        <v>21</v>
      </c>
      <c r="I145" s="13" t="s">
        <v>21</v>
      </c>
      <c r="J145" s="13" t="s">
        <v>21</v>
      </c>
      <c r="K145" s="13" t="s">
        <v>21</v>
      </c>
      <c r="L145" s="13" t="s">
        <v>21</v>
      </c>
      <c r="M145" s="13" t="s">
        <v>21</v>
      </c>
      <c r="N145" s="13" t="s">
        <v>21</v>
      </c>
      <c r="O145" s="13" t="s">
        <v>21</v>
      </c>
    </row>
    <row r="146" spans="1:15" x14ac:dyDescent="0.3">
      <c r="A146" s="15">
        <v>143</v>
      </c>
      <c r="B146" s="12" t="s">
        <v>175</v>
      </c>
      <c r="C146" s="12" t="s">
        <v>105</v>
      </c>
      <c r="D146" s="13" t="str">
        <f>IF(OR(TabEmbargos[[#This Row],[Impedida sem Imissão na Posse]]="S",TabEmbargos[[#This Row],[Impedida com Imissão na Posse]]="S"),"E","L")</f>
        <v>L</v>
      </c>
      <c r="E146" s="13" t="str">
        <f>IF(COUNTIF(TabEmbargos[[#This Row],[Embargo Projeto]:[Embargo Meio Ambiente]],"S"),"S","N")</f>
        <v>N</v>
      </c>
      <c r="F146" s="13" t="str">
        <f>IF(AND(TabEmbargos[[#This Row],[Embargo Projeto]]="S",TabEmbargos[[#This Row],[Embargo Fundiário]]="S"),"S","N")</f>
        <v>N</v>
      </c>
      <c r="G146" s="13" t="s">
        <v>24</v>
      </c>
      <c r="H146" s="13" t="s">
        <v>21</v>
      </c>
      <c r="I146" s="13" t="s">
        <v>21</v>
      </c>
      <c r="J146" s="13" t="s">
        <v>21</v>
      </c>
      <c r="K146" s="13" t="s">
        <v>21</v>
      </c>
      <c r="L146" s="13" t="s">
        <v>21</v>
      </c>
      <c r="M146" s="13" t="s">
        <v>21</v>
      </c>
      <c r="N146" s="13" t="s">
        <v>21</v>
      </c>
      <c r="O146" s="13" t="s">
        <v>21</v>
      </c>
    </row>
    <row r="147" spans="1:15" x14ac:dyDescent="0.3">
      <c r="A147" s="15">
        <v>144</v>
      </c>
      <c r="B147" s="12" t="s">
        <v>176</v>
      </c>
      <c r="C147" s="12" t="s">
        <v>105</v>
      </c>
      <c r="D147" s="13" t="str">
        <f>IF(OR(TabEmbargos[[#This Row],[Impedida sem Imissão na Posse]]="S",TabEmbargos[[#This Row],[Impedida com Imissão na Posse]]="S"),"E","L")</f>
        <v>L</v>
      </c>
      <c r="E147" s="13" t="str">
        <f>IF(COUNTIF(TabEmbargos[[#This Row],[Embargo Projeto]:[Embargo Meio Ambiente]],"S"),"S","N")</f>
        <v>N</v>
      </c>
      <c r="F147" s="13" t="str">
        <f>IF(AND(TabEmbargos[[#This Row],[Embargo Projeto]]="S",TabEmbargos[[#This Row],[Embargo Fundiário]]="S"),"S","N")</f>
        <v>N</v>
      </c>
      <c r="G147" s="13" t="s">
        <v>21</v>
      </c>
      <c r="H147" s="13" t="s">
        <v>21</v>
      </c>
      <c r="I147" s="13" t="s">
        <v>21</v>
      </c>
      <c r="J147" s="13" t="s">
        <v>21</v>
      </c>
      <c r="K147" s="13" t="s">
        <v>21</v>
      </c>
      <c r="L147" s="13" t="s">
        <v>21</v>
      </c>
      <c r="M147" s="13" t="s">
        <v>21</v>
      </c>
      <c r="N147" s="13" t="s">
        <v>21</v>
      </c>
      <c r="O147" s="13" t="s">
        <v>21</v>
      </c>
    </row>
    <row r="148" spans="1:15" x14ac:dyDescent="0.3">
      <c r="A148" s="15">
        <v>145</v>
      </c>
      <c r="B148" s="12" t="s">
        <v>177</v>
      </c>
      <c r="C148" s="12" t="s">
        <v>105</v>
      </c>
      <c r="D148" s="13" t="str">
        <f>IF(OR(TabEmbargos[[#This Row],[Impedida sem Imissão na Posse]]="S",TabEmbargos[[#This Row],[Impedida com Imissão na Posse]]="S"),"E","L")</f>
        <v>L</v>
      </c>
      <c r="E148" s="13" t="str">
        <f>IF(COUNTIF(TabEmbargos[[#This Row],[Embargo Projeto]:[Embargo Meio Ambiente]],"S"),"S","N")</f>
        <v>N</v>
      </c>
      <c r="F148" s="13" t="str">
        <f>IF(AND(TabEmbargos[[#This Row],[Embargo Projeto]]="S",TabEmbargos[[#This Row],[Embargo Fundiário]]="S"),"S","N")</f>
        <v>N</v>
      </c>
      <c r="G148" s="13" t="s">
        <v>21</v>
      </c>
      <c r="H148" s="13" t="s">
        <v>21</v>
      </c>
      <c r="I148" s="13" t="s">
        <v>21</v>
      </c>
      <c r="J148" s="13" t="s">
        <v>21</v>
      </c>
      <c r="K148" s="13" t="s">
        <v>21</v>
      </c>
      <c r="L148" s="13" t="s">
        <v>21</v>
      </c>
      <c r="M148" s="13" t="s">
        <v>21</v>
      </c>
      <c r="N148" s="13" t="s">
        <v>21</v>
      </c>
      <c r="O148" s="13" t="s">
        <v>21</v>
      </c>
    </row>
    <row r="149" spans="1:15" x14ac:dyDescent="0.3">
      <c r="A149" s="15">
        <v>146</v>
      </c>
      <c r="B149" s="12" t="s">
        <v>178</v>
      </c>
      <c r="C149" s="12" t="s">
        <v>37</v>
      </c>
      <c r="D149" s="13" t="str">
        <f>IF(OR(TabEmbargos[[#This Row],[Impedida sem Imissão na Posse]]="S",TabEmbargos[[#This Row],[Impedida com Imissão na Posse]]="S"),"E","L")</f>
        <v>L</v>
      </c>
      <c r="E149" s="13" t="str">
        <f>IF(COUNTIF(TabEmbargos[[#This Row],[Embargo Projeto]:[Embargo Meio Ambiente]],"S"),"S","N")</f>
        <v>N</v>
      </c>
      <c r="F149" s="13" t="str">
        <f>IF(AND(TabEmbargos[[#This Row],[Embargo Projeto]]="S",TabEmbargos[[#This Row],[Embargo Fundiário]]="S"),"S","N")</f>
        <v>N</v>
      </c>
      <c r="G149" s="13" t="s">
        <v>21</v>
      </c>
      <c r="H149" s="13" t="s">
        <v>21</v>
      </c>
      <c r="I149" s="13" t="s">
        <v>21</v>
      </c>
      <c r="J149" s="13" t="s">
        <v>21</v>
      </c>
      <c r="K149" s="13" t="s">
        <v>21</v>
      </c>
      <c r="L149" s="13" t="s">
        <v>21</v>
      </c>
      <c r="M149" s="13" t="s">
        <v>21</v>
      </c>
      <c r="N149" s="13" t="s">
        <v>21</v>
      </c>
      <c r="O149" s="13" t="s">
        <v>21</v>
      </c>
    </row>
    <row r="150" spans="1:15" x14ac:dyDescent="0.3">
      <c r="A150" s="15">
        <v>147</v>
      </c>
      <c r="B150" s="12" t="s">
        <v>179</v>
      </c>
      <c r="C150" s="12" t="s">
        <v>42</v>
      </c>
      <c r="D150" s="13" t="str">
        <f>IF(OR(TabEmbargos[[#This Row],[Impedida sem Imissão na Posse]]="S",TabEmbargos[[#This Row],[Impedida com Imissão na Posse]]="S"),"E","L")</f>
        <v>L</v>
      </c>
      <c r="E150" s="13" t="str">
        <f>IF(COUNTIF(TabEmbargos[[#This Row],[Embargo Projeto]:[Embargo Meio Ambiente]],"S"),"S","N")</f>
        <v>N</v>
      </c>
      <c r="F150" s="13" t="str">
        <f>IF(AND(TabEmbargos[[#This Row],[Embargo Projeto]]="S",TabEmbargos[[#This Row],[Embargo Fundiário]]="S"),"S","N")</f>
        <v>N</v>
      </c>
      <c r="G150" s="13" t="s">
        <v>24</v>
      </c>
      <c r="H150" s="13" t="s">
        <v>21</v>
      </c>
      <c r="I150" s="13" t="s">
        <v>21</v>
      </c>
      <c r="J150" s="13" t="s">
        <v>21</v>
      </c>
      <c r="K150" s="13" t="s">
        <v>21</v>
      </c>
      <c r="L150" s="13" t="s">
        <v>21</v>
      </c>
      <c r="M150" s="13" t="s">
        <v>21</v>
      </c>
      <c r="N150" s="13" t="s">
        <v>21</v>
      </c>
      <c r="O150" s="13" t="s">
        <v>21</v>
      </c>
    </row>
    <row r="151" spans="1:15" x14ac:dyDescent="0.3">
      <c r="A151" s="15">
        <v>148</v>
      </c>
      <c r="B151" s="12" t="s">
        <v>180</v>
      </c>
      <c r="C151" s="12" t="s">
        <v>72</v>
      </c>
      <c r="D151" s="13" t="str">
        <f>IF(OR(TabEmbargos[[#This Row],[Impedida sem Imissão na Posse]]="S",TabEmbargos[[#This Row],[Impedida com Imissão na Posse]]="S"),"E","L")</f>
        <v>L</v>
      </c>
      <c r="E151" s="13" t="str">
        <f>IF(COUNTIF(TabEmbargos[[#This Row],[Embargo Projeto]:[Embargo Meio Ambiente]],"S"),"S","N")</f>
        <v>N</v>
      </c>
      <c r="F151" s="13" t="str">
        <f>IF(AND(TabEmbargos[[#This Row],[Embargo Projeto]]="S",TabEmbargos[[#This Row],[Embargo Fundiário]]="S"),"S","N")</f>
        <v>N</v>
      </c>
      <c r="G151" s="13" t="s">
        <v>24</v>
      </c>
      <c r="H151" s="13" t="s">
        <v>21</v>
      </c>
      <c r="I151" s="13" t="s">
        <v>21</v>
      </c>
      <c r="J151" s="13" t="s">
        <v>21</v>
      </c>
      <c r="K151" s="13" t="s">
        <v>21</v>
      </c>
      <c r="L151" s="13" t="s">
        <v>21</v>
      </c>
      <c r="M151" s="13" t="s">
        <v>21</v>
      </c>
      <c r="N151" s="13" t="s">
        <v>21</v>
      </c>
      <c r="O151" s="13" t="s">
        <v>21</v>
      </c>
    </row>
    <row r="152" spans="1:15" x14ac:dyDescent="0.3">
      <c r="A152" s="15">
        <v>149</v>
      </c>
      <c r="B152" s="12" t="s">
        <v>181</v>
      </c>
      <c r="C152" s="12" t="s">
        <v>26</v>
      </c>
      <c r="D152" s="13" t="str">
        <f>IF(OR(TabEmbargos[[#This Row],[Impedida sem Imissão na Posse]]="S",TabEmbargos[[#This Row],[Impedida com Imissão na Posse]]="S"),"E","L")</f>
        <v>E</v>
      </c>
      <c r="E152" s="13" t="str">
        <f>IF(COUNTIF(TabEmbargos[[#This Row],[Embargo Projeto]:[Embargo Meio Ambiente]],"S"),"S","N")</f>
        <v>S</v>
      </c>
      <c r="F152" s="13" t="str">
        <f>IF(AND(TabEmbargos[[#This Row],[Embargo Projeto]]="S",TabEmbargos[[#This Row],[Embargo Fundiário]]="S"),"S","N")</f>
        <v>N</v>
      </c>
      <c r="G152" s="13" t="s">
        <v>24</v>
      </c>
      <c r="H152" s="13" t="s">
        <v>21</v>
      </c>
      <c r="I152" s="13" t="s">
        <v>21</v>
      </c>
      <c r="J152" s="13" t="s">
        <v>24</v>
      </c>
      <c r="K152" s="13" t="s">
        <v>21</v>
      </c>
      <c r="L152" s="13" t="s">
        <v>21</v>
      </c>
      <c r="M152" s="13" t="s">
        <v>21</v>
      </c>
      <c r="N152" s="13" t="s">
        <v>21</v>
      </c>
      <c r="O152" s="13" t="s">
        <v>21</v>
      </c>
    </row>
    <row r="153" spans="1:15" x14ac:dyDescent="0.3">
      <c r="A153" s="15">
        <v>150</v>
      </c>
      <c r="B153" s="12" t="s">
        <v>182</v>
      </c>
      <c r="C153" s="12" t="s">
        <v>32</v>
      </c>
      <c r="D153" s="13" t="str">
        <f>IF(OR(TabEmbargos[[#This Row],[Impedida sem Imissão na Posse]]="S",TabEmbargos[[#This Row],[Impedida com Imissão na Posse]]="S"),"E","L")</f>
        <v>E</v>
      </c>
      <c r="E153" s="13" t="str">
        <f>IF(COUNTIF(TabEmbargos[[#This Row],[Embargo Projeto]:[Embargo Meio Ambiente]],"S"),"S","N")</f>
        <v>S</v>
      </c>
      <c r="F153" s="13" t="str">
        <f>IF(AND(TabEmbargos[[#This Row],[Embargo Projeto]]="S",TabEmbargos[[#This Row],[Embargo Fundiário]]="S"),"S","N")</f>
        <v>S</v>
      </c>
      <c r="G153" s="13" t="s">
        <v>24</v>
      </c>
      <c r="H153" s="13" t="s">
        <v>24</v>
      </c>
      <c r="I153" s="13" t="s">
        <v>21</v>
      </c>
      <c r="J153" s="13" t="s">
        <v>24</v>
      </c>
      <c r="K153" s="13" t="s">
        <v>21</v>
      </c>
      <c r="L153" s="13" t="s">
        <v>21</v>
      </c>
      <c r="M153" s="13" t="s">
        <v>21</v>
      </c>
      <c r="N153" s="13" t="s">
        <v>21</v>
      </c>
      <c r="O153" s="13" t="s">
        <v>21</v>
      </c>
    </row>
    <row r="154" spans="1:15" x14ac:dyDescent="0.3">
      <c r="A154" s="15">
        <v>151</v>
      </c>
      <c r="B154" s="12" t="s">
        <v>183</v>
      </c>
      <c r="C154" s="12" t="s">
        <v>32</v>
      </c>
      <c r="D154" s="13" t="str">
        <f>IF(OR(TabEmbargos[[#This Row],[Impedida sem Imissão na Posse]]="S",TabEmbargos[[#This Row],[Impedida com Imissão na Posse]]="S"),"E","L")</f>
        <v>E</v>
      </c>
      <c r="E154" s="13" t="str">
        <f>IF(COUNTIF(TabEmbargos[[#This Row],[Embargo Projeto]:[Embargo Meio Ambiente]],"S"),"S","N")</f>
        <v>S</v>
      </c>
      <c r="F154" s="13" t="str">
        <f>IF(AND(TabEmbargos[[#This Row],[Embargo Projeto]]="S",TabEmbargos[[#This Row],[Embargo Fundiário]]="S"),"S","N")</f>
        <v>N</v>
      </c>
      <c r="G154" s="13" t="s">
        <v>24</v>
      </c>
      <c r="H154" s="13" t="s">
        <v>21</v>
      </c>
      <c r="I154" s="13" t="s">
        <v>21</v>
      </c>
      <c r="J154" s="13" t="s">
        <v>24</v>
      </c>
      <c r="K154" s="13" t="s">
        <v>21</v>
      </c>
      <c r="L154" s="13" t="s">
        <v>24</v>
      </c>
      <c r="M154" s="13" t="s">
        <v>21</v>
      </c>
      <c r="N154" s="13" t="s">
        <v>21</v>
      </c>
      <c r="O154" s="13" t="s">
        <v>21</v>
      </c>
    </row>
    <row r="155" spans="1:15" x14ac:dyDescent="0.3">
      <c r="A155" s="15">
        <v>152</v>
      </c>
      <c r="B155" s="12" t="s">
        <v>184</v>
      </c>
      <c r="C155" s="12" t="s">
        <v>26</v>
      </c>
      <c r="D155" s="13" t="str">
        <f>IF(OR(TabEmbargos[[#This Row],[Impedida sem Imissão na Posse]]="S",TabEmbargos[[#This Row],[Impedida com Imissão na Posse]]="S"),"E","L")</f>
        <v>E</v>
      </c>
      <c r="E155" s="13" t="str">
        <f>IF(COUNTIF(TabEmbargos[[#This Row],[Embargo Projeto]:[Embargo Meio Ambiente]],"S"),"S","N")</f>
        <v>S</v>
      </c>
      <c r="F155" s="13" t="str">
        <f>IF(AND(TabEmbargos[[#This Row],[Embargo Projeto]]="S",TabEmbargos[[#This Row],[Embargo Fundiário]]="S"),"S","N")</f>
        <v>N</v>
      </c>
      <c r="G155" s="13" t="s">
        <v>21</v>
      </c>
      <c r="H155" s="13" t="s">
        <v>21</v>
      </c>
      <c r="I155" s="13" t="s">
        <v>21</v>
      </c>
      <c r="J155" s="13" t="s">
        <v>24</v>
      </c>
      <c r="K155" s="13" t="s">
        <v>21</v>
      </c>
      <c r="L155" s="13" t="s">
        <v>21</v>
      </c>
      <c r="M155" s="13" t="s">
        <v>21</v>
      </c>
      <c r="N155" s="13" t="s">
        <v>21</v>
      </c>
      <c r="O155" s="13" t="s">
        <v>21</v>
      </c>
    </row>
    <row r="156" spans="1:15" x14ac:dyDescent="0.3">
      <c r="A156" s="15">
        <v>153</v>
      </c>
      <c r="B156" s="12" t="s">
        <v>185</v>
      </c>
      <c r="C156" s="12" t="s">
        <v>72</v>
      </c>
      <c r="D156" s="13" t="str">
        <f>IF(OR(TabEmbargos[[#This Row],[Impedida sem Imissão na Posse]]="S",TabEmbargos[[#This Row],[Impedida com Imissão na Posse]]="S"),"E","L")</f>
        <v>E</v>
      </c>
      <c r="E156" s="13" t="str">
        <f>IF(COUNTIF(TabEmbargos[[#This Row],[Embargo Projeto]:[Embargo Meio Ambiente]],"S"),"S","N")</f>
        <v>S</v>
      </c>
      <c r="F156" s="13" t="str">
        <f>IF(AND(TabEmbargos[[#This Row],[Embargo Projeto]]="S",TabEmbargos[[#This Row],[Embargo Fundiário]]="S"),"S","N")</f>
        <v>S</v>
      </c>
      <c r="G156" s="13" t="s">
        <v>21</v>
      </c>
      <c r="H156" s="13" t="s">
        <v>24</v>
      </c>
      <c r="I156" s="13" t="s">
        <v>21</v>
      </c>
      <c r="J156" s="13" t="s">
        <v>24</v>
      </c>
      <c r="K156" s="13" t="s">
        <v>21</v>
      </c>
      <c r="L156" s="13" t="s">
        <v>21</v>
      </c>
      <c r="M156" s="13" t="s">
        <v>21</v>
      </c>
      <c r="N156" s="13" t="s">
        <v>21</v>
      </c>
      <c r="O156" s="13" t="s">
        <v>21</v>
      </c>
    </row>
    <row r="157" spans="1:15" x14ac:dyDescent="0.3">
      <c r="A157" s="15">
        <v>154</v>
      </c>
      <c r="B157" s="12" t="s">
        <v>186</v>
      </c>
      <c r="C157" s="12" t="s">
        <v>42</v>
      </c>
      <c r="D157" s="13" t="str">
        <f>IF(OR(TabEmbargos[[#This Row],[Impedida sem Imissão na Posse]]="S",TabEmbargos[[#This Row],[Impedida com Imissão na Posse]]="S"),"E","L")</f>
        <v>E</v>
      </c>
      <c r="E157" s="13" t="str">
        <f>IF(COUNTIF(TabEmbargos[[#This Row],[Embargo Projeto]:[Embargo Meio Ambiente]],"S"),"S","N")</f>
        <v>S</v>
      </c>
      <c r="F157" s="13" t="str">
        <f>IF(AND(TabEmbargos[[#This Row],[Embargo Projeto]]="S",TabEmbargos[[#This Row],[Embargo Fundiário]]="S"),"S","N")</f>
        <v>S</v>
      </c>
      <c r="G157" s="13" t="s">
        <v>21</v>
      </c>
      <c r="H157" s="13" t="s">
        <v>24</v>
      </c>
      <c r="I157" s="13" t="s">
        <v>21</v>
      </c>
      <c r="J157" s="13" t="s">
        <v>24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</row>
    <row r="158" spans="1:15" x14ac:dyDescent="0.3">
      <c r="A158" s="15">
        <v>155</v>
      </c>
      <c r="B158" s="12" t="s">
        <v>187</v>
      </c>
      <c r="C158" s="12" t="s">
        <v>32</v>
      </c>
      <c r="D158" s="13" t="str">
        <f>IF(OR(TabEmbargos[[#This Row],[Impedida sem Imissão na Posse]]="S",TabEmbargos[[#This Row],[Impedida com Imissão na Posse]]="S"),"E","L")</f>
        <v>E</v>
      </c>
      <c r="E158" s="13" t="str">
        <f>IF(COUNTIF(TabEmbargos[[#This Row],[Embargo Projeto]:[Embargo Meio Ambiente]],"S"),"S","N")</f>
        <v>S</v>
      </c>
      <c r="F158" s="13" t="str">
        <f>IF(AND(TabEmbargos[[#This Row],[Embargo Projeto]]="S",TabEmbargos[[#This Row],[Embargo Fundiário]]="S"),"S","N")</f>
        <v>S</v>
      </c>
      <c r="G158" s="13" t="s">
        <v>21</v>
      </c>
      <c r="H158" s="13" t="s">
        <v>24</v>
      </c>
      <c r="I158" s="13" t="s">
        <v>21</v>
      </c>
      <c r="J158" s="13" t="s">
        <v>24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</row>
    <row r="159" spans="1:15" x14ac:dyDescent="0.3">
      <c r="A159" s="15">
        <v>156</v>
      </c>
      <c r="B159" s="12" t="s">
        <v>188</v>
      </c>
      <c r="C159" s="12" t="s">
        <v>32</v>
      </c>
      <c r="D159" s="13" t="str">
        <f>IF(OR(TabEmbargos[[#This Row],[Impedida sem Imissão na Posse]]="S",TabEmbargos[[#This Row],[Impedida com Imissão na Posse]]="S"),"E","L")</f>
        <v>E</v>
      </c>
      <c r="E159" s="13" t="str">
        <f>IF(COUNTIF(TabEmbargos[[#This Row],[Embargo Projeto]:[Embargo Meio Ambiente]],"S"),"S","N")</f>
        <v>S</v>
      </c>
      <c r="F159" s="13" t="str">
        <f>IF(AND(TabEmbargos[[#This Row],[Embargo Projeto]]="S",TabEmbargos[[#This Row],[Embargo Fundiário]]="S"),"S","N")</f>
        <v>N</v>
      </c>
      <c r="G159" s="13" t="s">
        <v>21</v>
      </c>
      <c r="H159" s="13" t="s">
        <v>21</v>
      </c>
      <c r="I159" s="13" t="s">
        <v>21</v>
      </c>
      <c r="J159" s="13" t="s">
        <v>24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</row>
    <row r="160" spans="1:15" x14ac:dyDescent="0.3">
      <c r="A160" s="15">
        <v>157</v>
      </c>
      <c r="B160" s="12" t="s">
        <v>189</v>
      </c>
      <c r="C160" s="12" t="s">
        <v>37</v>
      </c>
      <c r="D160" s="13" t="str">
        <f>IF(OR(TabEmbargos[[#This Row],[Impedida sem Imissão na Posse]]="S",TabEmbargos[[#This Row],[Impedida com Imissão na Posse]]="S"),"E","L")</f>
        <v>E</v>
      </c>
      <c r="E160" s="13" t="str">
        <f>IF(COUNTIF(TabEmbargos[[#This Row],[Embargo Projeto]:[Embargo Meio Ambiente]],"S"),"S","N")</f>
        <v>S</v>
      </c>
      <c r="F160" s="13" t="str">
        <f>IF(AND(TabEmbargos[[#This Row],[Embargo Projeto]]="S",TabEmbargos[[#This Row],[Embargo Fundiário]]="S"),"S","N")</f>
        <v>N</v>
      </c>
      <c r="G160" s="13" t="s">
        <v>24</v>
      </c>
      <c r="H160" s="13" t="s">
        <v>21</v>
      </c>
      <c r="I160" s="13" t="s">
        <v>21</v>
      </c>
      <c r="J160" s="13" t="s">
        <v>24</v>
      </c>
      <c r="K160" s="13" t="s">
        <v>21</v>
      </c>
      <c r="L160" s="13" t="s">
        <v>21</v>
      </c>
      <c r="M160" s="13" t="s">
        <v>21</v>
      </c>
      <c r="N160" s="13" t="s">
        <v>21</v>
      </c>
      <c r="O160" s="13" t="s">
        <v>21</v>
      </c>
    </row>
    <row r="161" spans="1:15" x14ac:dyDescent="0.3">
      <c r="A161" s="15">
        <v>158</v>
      </c>
      <c r="B161" s="12" t="s">
        <v>190</v>
      </c>
      <c r="C161" s="12" t="s">
        <v>32</v>
      </c>
      <c r="D161" s="13" t="str">
        <f>IF(OR(TabEmbargos[[#This Row],[Impedida sem Imissão na Posse]]="S",TabEmbargos[[#This Row],[Impedida com Imissão na Posse]]="S"),"E","L")</f>
        <v>E</v>
      </c>
      <c r="E161" s="13" t="str">
        <f>IF(COUNTIF(TabEmbargos[[#This Row],[Embargo Projeto]:[Embargo Meio Ambiente]],"S"),"S","N")</f>
        <v>S</v>
      </c>
      <c r="F161" s="13" t="str">
        <f>IF(AND(TabEmbargos[[#This Row],[Embargo Projeto]]="S",TabEmbargos[[#This Row],[Embargo Fundiário]]="S"),"S","N")</f>
        <v>N</v>
      </c>
      <c r="G161" s="13" t="s">
        <v>24</v>
      </c>
      <c r="H161" s="13" t="s">
        <v>21</v>
      </c>
      <c r="I161" s="13" t="s">
        <v>21</v>
      </c>
      <c r="J161" s="13" t="s">
        <v>24</v>
      </c>
      <c r="K161" s="13" t="s">
        <v>21</v>
      </c>
      <c r="L161" s="13" t="s">
        <v>21</v>
      </c>
      <c r="M161" s="13" t="s">
        <v>21</v>
      </c>
      <c r="N161" s="13" t="s">
        <v>21</v>
      </c>
      <c r="O161" s="13" t="s">
        <v>21</v>
      </c>
    </row>
    <row r="162" spans="1:15" x14ac:dyDescent="0.3">
      <c r="A162" s="15">
        <v>159</v>
      </c>
      <c r="B162" s="12" t="s">
        <v>191</v>
      </c>
      <c r="C162" s="12" t="s">
        <v>32</v>
      </c>
      <c r="D162" s="13" t="str">
        <f>IF(OR(TabEmbargos[[#This Row],[Impedida sem Imissão na Posse]]="S",TabEmbargos[[#This Row],[Impedida com Imissão na Posse]]="S"),"E","L")</f>
        <v>E</v>
      </c>
      <c r="E162" s="13" t="str">
        <f>IF(COUNTIF(TabEmbargos[[#This Row],[Embargo Projeto]:[Embargo Meio Ambiente]],"S"),"S","N")</f>
        <v>S</v>
      </c>
      <c r="F162" s="13" t="str">
        <f>IF(AND(TabEmbargos[[#This Row],[Embargo Projeto]]="S",TabEmbargos[[#This Row],[Embargo Fundiário]]="S"),"S","N")</f>
        <v>S</v>
      </c>
      <c r="G162" s="13" t="s">
        <v>21</v>
      </c>
      <c r="H162" s="13" t="s">
        <v>24</v>
      </c>
      <c r="I162" s="13" t="s">
        <v>21</v>
      </c>
      <c r="J162" s="13" t="s">
        <v>24</v>
      </c>
      <c r="K162" s="13" t="s">
        <v>21</v>
      </c>
      <c r="L162" s="13" t="s">
        <v>21</v>
      </c>
      <c r="M162" s="13" t="s">
        <v>21</v>
      </c>
      <c r="N162" s="13" t="s">
        <v>21</v>
      </c>
      <c r="O162" s="13" t="s">
        <v>21</v>
      </c>
    </row>
    <row r="163" spans="1:15" x14ac:dyDescent="0.3">
      <c r="A163" s="15">
        <v>160</v>
      </c>
      <c r="B163" s="12" t="s">
        <v>192</v>
      </c>
      <c r="C163" s="12" t="s">
        <v>105</v>
      </c>
      <c r="D163" s="13" t="str">
        <f>IF(OR(TabEmbargos[[#This Row],[Impedida sem Imissão na Posse]]="S",TabEmbargos[[#This Row],[Impedida com Imissão na Posse]]="S"),"E","L")</f>
        <v>E</v>
      </c>
      <c r="E163" s="13" t="str">
        <f>IF(COUNTIF(TabEmbargos[[#This Row],[Embargo Projeto]:[Embargo Meio Ambiente]],"S"),"S","N")</f>
        <v>S</v>
      </c>
      <c r="F163" s="13" t="str">
        <f>IF(AND(TabEmbargos[[#This Row],[Embargo Projeto]]="S",TabEmbargos[[#This Row],[Embargo Fundiário]]="S"),"S","N")</f>
        <v>N</v>
      </c>
      <c r="G163" s="13" t="s">
        <v>21</v>
      </c>
      <c r="H163" s="13" t="s">
        <v>21</v>
      </c>
      <c r="I163" s="13" t="s">
        <v>21</v>
      </c>
      <c r="J163" s="13" t="s">
        <v>24</v>
      </c>
      <c r="K163" s="13" t="s">
        <v>21</v>
      </c>
      <c r="L163" s="13" t="s">
        <v>21</v>
      </c>
      <c r="M163" s="13" t="s">
        <v>21</v>
      </c>
      <c r="N163" s="13" t="s">
        <v>21</v>
      </c>
      <c r="O163" s="13" t="s">
        <v>21</v>
      </c>
    </row>
    <row r="164" spans="1:15" x14ac:dyDescent="0.3">
      <c r="A164" s="15">
        <v>161</v>
      </c>
      <c r="B164" s="12" t="s">
        <v>193</v>
      </c>
      <c r="C164" s="12" t="s">
        <v>37</v>
      </c>
      <c r="D164" s="13" t="str">
        <f>IF(OR(TabEmbargos[[#This Row],[Impedida sem Imissão na Posse]]="S",TabEmbargos[[#This Row],[Impedida com Imissão na Posse]]="S"),"E","L")</f>
        <v>E</v>
      </c>
      <c r="E164" s="13" t="str">
        <f>IF(COUNTIF(TabEmbargos[[#This Row],[Embargo Projeto]:[Embargo Meio Ambiente]],"S"),"S","N")</f>
        <v>S</v>
      </c>
      <c r="F164" s="13" t="str">
        <f>IF(AND(TabEmbargos[[#This Row],[Embargo Projeto]]="S",TabEmbargos[[#This Row],[Embargo Fundiário]]="S"),"S","N")</f>
        <v>N</v>
      </c>
      <c r="G164" s="13" t="s">
        <v>24</v>
      </c>
      <c r="H164" s="13" t="s">
        <v>21</v>
      </c>
      <c r="I164" s="13" t="s">
        <v>21</v>
      </c>
      <c r="J164" s="13" t="s">
        <v>24</v>
      </c>
      <c r="K164" s="13" t="s">
        <v>21</v>
      </c>
      <c r="L164" s="13" t="s">
        <v>21</v>
      </c>
      <c r="M164" s="13" t="s">
        <v>21</v>
      </c>
      <c r="N164" s="13" t="s">
        <v>21</v>
      </c>
      <c r="O164" s="13" t="s">
        <v>21</v>
      </c>
    </row>
    <row r="165" spans="1:15" x14ac:dyDescent="0.3">
      <c r="A165" s="15">
        <v>162</v>
      </c>
      <c r="B165" s="12" t="s">
        <v>194</v>
      </c>
      <c r="C165" s="12" t="s">
        <v>37</v>
      </c>
      <c r="D165" s="13" t="str">
        <f>IF(OR(TabEmbargos[[#This Row],[Impedida sem Imissão na Posse]]="S",TabEmbargos[[#This Row],[Impedida com Imissão na Posse]]="S"),"E","L")</f>
        <v>E</v>
      </c>
      <c r="E165" s="13" t="str">
        <f>IF(COUNTIF(TabEmbargos[[#This Row],[Embargo Projeto]:[Embargo Meio Ambiente]],"S"),"S","N")</f>
        <v>S</v>
      </c>
      <c r="F165" s="13" t="str">
        <f>IF(AND(TabEmbargos[[#This Row],[Embargo Projeto]]="S",TabEmbargos[[#This Row],[Embargo Fundiário]]="S"),"S","N")</f>
        <v>N</v>
      </c>
      <c r="G165" s="13" t="s">
        <v>24</v>
      </c>
      <c r="H165" s="13" t="s">
        <v>21</v>
      </c>
      <c r="I165" s="13" t="s">
        <v>21</v>
      </c>
      <c r="J165" s="13" t="s">
        <v>24</v>
      </c>
      <c r="K165" s="13" t="s">
        <v>21</v>
      </c>
      <c r="L165" s="13" t="s">
        <v>21</v>
      </c>
      <c r="M165" s="13" t="s">
        <v>21</v>
      </c>
      <c r="N165" s="13" t="s">
        <v>21</v>
      </c>
      <c r="O165" s="13" t="s">
        <v>21</v>
      </c>
    </row>
    <row r="166" spans="1:15" x14ac:dyDescent="0.3">
      <c r="A166" s="15">
        <v>163</v>
      </c>
      <c r="B166" s="12" t="s">
        <v>195</v>
      </c>
      <c r="C166" s="12" t="s">
        <v>37</v>
      </c>
      <c r="D166" s="13" t="str">
        <f>IF(OR(TabEmbargos[[#This Row],[Impedida sem Imissão na Posse]]="S",TabEmbargos[[#This Row],[Impedida com Imissão na Posse]]="S"),"E","L")</f>
        <v>E</v>
      </c>
      <c r="E166" s="13" t="str">
        <f>IF(COUNTIF(TabEmbargos[[#This Row],[Embargo Projeto]:[Embargo Meio Ambiente]],"S"),"S","N")</f>
        <v>S</v>
      </c>
      <c r="F166" s="13" t="str">
        <f>IF(AND(TabEmbargos[[#This Row],[Embargo Projeto]]="S",TabEmbargos[[#This Row],[Embargo Fundiário]]="S"),"S","N")</f>
        <v>N</v>
      </c>
      <c r="G166" s="13" t="s">
        <v>21</v>
      </c>
      <c r="H166" s="13" t="s">
        <v>21</v>
      </c>
      <c r="I166" s="13" t="s">
        <v>21</v>
      </c>
      <c r="J166" s="13" t="s">
        <v>24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</row>
    <row r="167" spans="1:15" x14ac:dyDescent="0.3">
      <c r="A167" s="15">
        <v>164</v>
      </c>
      <c r="B167" s="12" t="s">
        <v>196</v>
      </c>
      <c r="C167" s="12" t="s">
        <v>37</v>
      </c>
      <c r="D167" s="13" t="str">
        <f>IF(OR(TabEmbargos[[#This Row],[Impedida sem Imissão na Posse]]="S",TabEmbargos[[#This Row],[Impedida com Imissão na Posse]]="S"),"E","L")</f>
        <v>E</v>
      </c>
      <c r="E167" s="13" t="str">
        <f>IF(COUNTIF(TabEmbargos[[#This Row],[Embargo Projeto]:[Embargo Meio Ambiente]],"S"),"S","N")</f>
        <v>S</v>
      </c>
      <c r="F167" s="13" t="str">
        <f>IF(AND(TabEmbargos[[#This Row],[Embargo Projeto]]="S",TabEmbargos[[#This Row],[Embargo Fundiário]]="S"),"S","N")</f>
        <v>N</v>
      </c>
      <c r="G167" s="13" t="s">
        <v>21</v>
      </c>
      <c r="H167" s="13" t="s">
        <v>21</v>
      </c>
      <c r="I167" s="13" t="s">
        <v>21</v>
      </c>
      <c r="J167" s="13" t="s">
        <v>24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</row>
    <row r="168" spans="1:15" x14ac:dyDescent="0.3">
      <c r="A168" s="15">
        <v>165</v>
      </c>
      <c r="B168" s="12" t="s">
        <v>197</v>
      </c>
      <c r="C168" s="12" t="s">
        <v>37</v>
      </c>
      <c r="D168" s="13" t="str">
        <f>IF(OR(TabEmbargos[[#This Row],[Impedida sem Imissão na Posse]]="S",TabEmbargos[[#This Row],[Impedida com Imissão na Posse]]="S"),"E","L")</f>
        <v>E</v>
      </c>
      <c r="E168" s="13" t="str">
        <f>IF(COUNTIF(TabEmbargos[[#This Row],[Embargo Projeto]:[Embargo Meio Ambiente]],"S"),"S","N")</f>
        <v>S</v>
      </c>
      <c r="F168" s="13" t="str">
        <f>IF(AND(TabEmbargos[[#This Row],[Embargo Projeto]]="S",TabEmbargos[[#This Row],[Embargo Fundiário]]="S"),"S","N")</f>
        <v>N</v>
      </c>
      <c r="G168" s="13" t="s">
        <v>24</v>
      </c>
      <c r="H168" s="13" t="s">
        <v>21</v>
      </c>
      <c r="I168" s="13" t="s">
        <v>21</v>
      </c>
      <c r="J168" s="13" t="s">
        <v>24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</row>
    <row r="169" spans="1:15" x14ac:dyDescent="0.3">
      <c r="A169" s="15">
        <v>166</v>
      </c>
      <c r="B169" s="12" t="s">
        <v>198</v>
      </c>
      <c r="C169" s="12" t="s">
        <v>52</v>
      </c>
      <c r="D169" s="13" t="str">
        <f>IF(OR(TabEmbargos[[#This Row],[Impedida sem Imissão na Posse]]="S",TabEmbargos[[#This Row],[Impedida com Imissão na Posse]]="S"),"E","L")</f>
        <v>E</v>
      </c>
      <c r="E169" s="13" t="str">
        <f>IF(COUNTIF(TabEmbargos[[#This Row],[Embargo Projeto]:[Embargo Meio Ambiente]],"S"),"S","N")</f>
        <v>S</v>
      </c>
      <c r="F169" s="13" t="str">
        <f>IF(AND(TabEmbargos[[#This Row],[Embargo Projeto]]="S",TabEmbargos[[#This Row],[Embargo Fundiário]]="S"),"S","N")</f>
        <v>N</v>
      </c>
      <c r="G169" s="13" t="s">
        <v>24</v>
      </c>
      <c r="H169" s="13" t="s">
        <v>21</v>
      </c>
      <c r="I169" s="13" t="s">
        <v>21</v>
      </c>
      <c r="J169" s="13" t="s">
        <v>24</v>
      </c>
      <c r="K169" s="13" t="s">
        <v>21</v>
      </c>
      <c r="L169" s="13" t="s">
        <v>21</v>
      </c>
      <c r="M169" s="13" t="s">
        <v>21</v>
      </c>
      <c r="N169" s="13" t="s">
        <v>21</v>
      </c>
      <c r="O169" s="13" t="s">
        <v>21</v>
      </c>
    </row>
    <row r="170" spans="1:15" x14ac:dyDescent="0.3">
      <c r="A170" s="15">
        <v>167</v>
      </c>
      <c r="B170" s="12" t="s">
        <v>199</v>
      </c>
      <c r="C170" s="12" t="s">
        <v>52</v>
      </c>
      <c r="D170" s="13" t="str">
        <f>IF(OR(TabEmbargos[[#This Row],[Impedida sem Imissão na Posse]]="S",TabEmbargos[[#This Row],[Impedida com Imissão na Posse]]="S"),"E","L")</f>
        <v>E</v>
      </c>
      <c r="E170" s="13" t="str">
        <f>IF(COUNTIF(TabEmbargos[[#This Row],[Embargo Projeto]:[Embargo Meio Ambiente]],"S"),"S","N")</f>
        <v>S</v>
      </c>
      <c r="F170" s="13" t="str">
        <f>IF(AND(TabEmbargos[[#This Row],[Embargo Projeto]]="S",TabEmbargos[[#This Row],[Embargo Fundiário]]="S"),"S","N")</f>
        <v>N</v>
      </c>
      <c r="G170" s="13" t="s">
        <v>21</v>
      </c>
      <c r="H170" s="13" t="s">
        <v>21</v>
      </c>
      <c r="I170" s="13" t="s">
        <v>21</v>
      </c>
      <c r="J170" s="13" t="s">
        <v>24</v>
      </c>
      <c r="K170" s="13" t="s">
        <v>21</v>
      </c>
      <c r="L170" s="13" t="s">
        <v>21</v>
      </c>
      <c r="M170" s="13" t="s">
        <v>21</v>
      </c>
      <c r="N170" s="13" t="s">
        <v>21</v>
      </c>
      <c r="O170" s="13" t="s">
        <v>21</v>
      </c>
    </row>
    <row r="171" spans="1:15" x14ac:dyDescent="0.3">
      <c r="A171" s="15">
        <v>168</v>
      </c>
      <c r="B171" s="12" t="s">
        <v>200</v>
      </c>
      <c r="C171" s="12" t="s">
        <v>52</v>
      </c>
      <c r="D171" s="13" t="str">
        <f>IF(OR(TabEmbargos[[#This Row],[Impedida sem Imissão na Posse]]="S",TabEmbargos[[#This Row],[Impedida com Imissão na Posse]]="S"),"E","L")</f>
        <v>E</v>
      </c>
      <c r="E171" s="13" t="str">
        <f>IF(COUNTIF(TabEmbargos[[#This Row],[Embargo Projeto]:[Embargo Meio Ambiente]],"S"),"S","N")</f>
        <v>S</v>
      </c>
      <c r="F171" s="13" t="str">
        <f>IF(AND(TabEmbargos[[#This Row],[Embargo Projeto]]="S",TabEmbargos[[#This Row],[Embargo Fundiário]]="S"),"S","N")</f>
        <v>N</v>
      </c>
      <c r="G171" s="13" t="s">
        <v>21</v>
      </c>
      <c r="H171" s="13" t="s">
        <v>21</v>
      </c>
      <c r="I171" s="13" t="s">
        <v>21</v>
      </c>
      <c r="J171" s="13" t="s">
        <v>24</v>
      </c>
      <c r="K171" s="13" t="s">
        <v>21</v>
      </c>
      <c r="L171" s="13" t="s">
        <v>21</v>
      </c>
      <c r="M171" s="13" t="s">
        <v>21</v>
      </c>
      <c r="N171" s="13" t="s">
        <v>21</v>
      </c>
      <c r="O171" s="13" t="s">
        <v>21</v>
      </c>
    </row>
    <row r="172" spans="1:15" x14ac:dyDescent="0.3">
      <c r="A172" s="15">
        <v>169</v>
      </c>
      <c r="B172" s="12" t="s">
        <v>201</v>
      </c>
      <c r="C172" s="12" t="s">
        <v>32</v>
      </c>
      <c r="D172" s="13" t="str">
        <f>IF(OR(TabEmbargos[[#This Row],[Impedida sem Imissão na Posse]]="S",TabEmbargos[[#This Row],[Impedida com Imissão na Posse]]="S"),"E","L")</f>
        <v>E</v>
      </c>
      <c r="E172" s="13" t="str">
        <f>IF(COUNTIF(TabEmbargos[[#This Row],[Embargo Projeto]:[Embargo Meio Ambiente]],"S"),"S","N")</f>
        <v>S</v>
      </c>
      <c r="F172" s="13" t="str">
        <f>IF(AND(TabEmbargos[[#This Row],[Embargo Projeto]]="S",TabEmbargos[[#This Row],[Embargo Fundiário]]="S"),"S","N")</f>
        <v>N</v>
      </c>
      <c r="G172" s="13" t="s">
        <v>24</v>
      </c>
      <c r="H172" s="13" t="s">
        <v>21</v>
      </c>
      <c r="I172" s="13" t="s">
        <v>21</v>
      </c>
      <c r="J172" s="13" t="s">
        <v>24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</row>
    <row r="173" spans="1:15" x14ac:dyDescent="0.3">
      <c r="A173" s="15">
        <v>170</v>
      </c>
      <c r="B173" s="12" t="s">
        <v>202</v>
      </c>
      <c r="C173" s="12" t="s">
        <v>32</v>
      </c>
      <c r="D173" s="13" t="str">
        <f>IF(OR(TabEmbargos[[#This Row],[Impedida sem Imissão na Posse]]="S",TabEmbargos[[#This Row],[Impedida com Imissão na Posse]]="S"),"E","L")</f>
        <v>E</v>
      </c>
      <c r="E173" s="13" t="str">
        <f>IF(COUNTIF(TabEmbargos[[#This Row],[Embargo Projeto]:[Embargo Meio Ambiente]],"S"),"S","N")</f>
        <v>S</v>
      </c>
      <c r="F173" s="13" t="str">
        <f>IF(AND(TabEmbargos[[#This Row],[Embargo Projeto]]="S",TabEmbargos[[#This Row],[Embargo Fundiário]]="S"),"S","N")</f>
        <v>N</v>
      </c>
      <c r="G173" s="13" t="s">
        <v>21</v>
      </c>
      <c r="H173" s="13" t="s">
        <v>21</v>
      </c>
      <c r="I173" s="13" t="s">
        <v>21</v>
      </c>
      <c r="J173" s="13" t="s">
        <v>24</v>
      </c>
      <c r="K173" s="13" t="s">
        <v>21</v>
      </c>
      <c r="L173" s="13" t="s">
        <v>21</v>
      </c>
      <c r="M173" s="13" t="s">
        <v>21</v>
      </c>
      <c r="N173" s="13" t="s">
        <v>21</v>
      </c>
      <c r="O173" s="13" t="s">
        <v>21</v>
      </c>
    </row>
    <row r="174" spans="1:15" x14ac:dyDescent="0.3">
      <c r="A174" s="15">
        <v>171</v>
      </c>
      <c r="B174" s="12" t="s">
        <v>203</v>
      </c>
      <c r="C174" s="12" t="s">
        <v>105</v>
      </c>
      <c r="D174" s="13" t="str">
        <f>IF(OR(TabEmbargos[[#This Row],[Impedida sem Imissão na Posse]]="S",TabEmbargos[[#This Row],[Impedida com Imissão na Posse]]="S"),"E","L")</f>
        <v>E</v>
      </c>
      <c r="E174" s="13" t="str">
        <f>IF(COUNTIF(TabEmbargos[[#This Row],[Embargo Projeto]:[Embargo Meio Ambiente]],"S"),"S","N")</f>
        <v>S</v>
      </c>
      <c r="F174" s="13" t="str">
        <f>IF(AND(TabEmbargos[[#This Row],[Embargo Projeto]]="S",TabEmbargos[[#This Row],[Embargo Fundiário]]="S"),"S","N")</f>
        <v>S</v>
      </c>
      <c r="G174" s="13" t="s">
        <v>21</v>
      </c>
      <c r="H174" s="13" t="s">
        <v>24</v>
      </c>
      <c r="I174" s="13" t="s">
        <v>21</v>
      </c>
      <c r="J174" s="13" t="s">
        <v>24</v>
      </c>
      <c r="K174" s="13" t="s">
        <v>21</v>
      </c>
      <c r="L174" s="13" t="s">
        <v>21</v>
      </c>
      <c r="M174" s="13" t="s">
        <v>21</v>
      </c>
      <c r="N174" s="13" t="s">
        <v>21</v>
      </c>
      <c r="O174" s="13" t="s">
        <v>21</v>
      </c>
    </row>
    <row r="175" spans="1:15" x14ac:dyDescent="0.3">
      <c r="A175" s="15">
        <v>172</v>
      </c>
      <c r="B175" s="12" t="s">
        <v>204</v>
      </c>
      <c r="C175" s="12" t="s">
        <v>42</v>
      </c>
      <c r="D175" s="13" t="str">
        <f>IF(OR(TabEmbargos[[#This Row],[Impedida sem Imissão na Posse]]="S",TabEmbargos[[#This Row],[Impedida com Imissão na Posse]]="S"),"E","L")</f>
        <v>E</v>
      </c>
      <c r="E175" s="13" t="str">
        <f>IF(COUNTIF(TabEmbargos[[#This Row],[Embargo Projeto]:[Embargo Meio Ambiente]],"S"),"S","N")</f>
        <v>S</v>
      </c>
      <c r="F175" s="13" t="str">
        <f>IF(AND(TabEmbargos[[#This Row],[Embargo Projeto]]="S",TabEmbargos[[#This Row],[Embargo Fundiário]]="S"),"S","N")</f>
        <v>S</v>
      </c>
      <c r="G175" s="13" t="s">
        <v>24</v>
      </c>
      <c r="H175" s="13" t="s">
        <v>24</v>
      </c>
      <c r="I175" s="13" t="s">
        <v>21</v>
      </c>
      <c r="J175" s="13" t="s">
        <v>24</v>
      </c>
      <c r="K175" s="13" t="s">
        <v>21</v>
      </c>
      <c r="L175" s="13" t="s">
        <v>24</v>
      </c>
      <c r="M175" s="13" t="s">
        <v>21</v>
      </c>
      <c r="N175" s="13" t="s">
        <v>21</v>
      </c>
      <c r="O175" s="13" t="s">
        <v>21</v>
      </c>
    </row>
    <row r="176" spans="1:15" x14ac:dyDescent="0.3">
      <c r="A176" s="15">
        <v>173</v>
      </c>
      <c r="B176" s="12" t="s">
        <v>205</v>
      </c>
      <c r="C176" s="12" t="s">
        <v>42</v>
      </c>
      <c r="D176" s="13" t="str">
        <f>IF(OR(TabEmbargos[[#This Row],[Impedida sem Imissão na Posse]]="S",TabEmbargos[[#This Row],[Impedida com Imissão na Posse]]="S"),"E","L")</f>
        <v>E</v>
      </c>
      <c r="E176" s="13" t="str">
        <f>IF(COUNTIF(TabEmbargos[[#This Row],[Embargo Projeto]:[Embargo Meio Ambiente]],"S"),"S","N")</f>
        <v>S</v>
      </c>
      <c r="F176" s="13" t="str">
        <f>IF(AND(TabEmbargos[[#This Row],[Embargo Projeto]]="S",TabEmbargos[[#This Row],[Embargo Fundiário]]="S"),"S","N")</f>
        <v>S</v>
      </c>
      <c r="G176" s="13" t="s">
        <v>21</v>
      </c>
      <c r="H176" s="13" t="s">
        <v>24</v>
      </c>
      <c r="I176" s="13" t="s">
        <v>24</v>
      </c>
      <c r="J176" s="13" t="s">
        <v>24</v>
      </c>
      <c r="K176" s="13" t="s">
        <v>21</v>
      </c>
      <c r="L176" s="13" t="s">
        <v>24</v>
      </c>
      <c r="M176" s="13" t="s">
        <v>21</v>
      </c>
      <c r="N176" s="13" t="s">
        <v>21</v>
      </c>
      <c r="O176" s="13" t="s">
        <v>21</v>
      </c>
    </row>
    <row r="177" spans="1:15" x14ac:dyDescent="0.3">
      <c r="A177" s="15">
        <v>174</v>
      </c>
      <c r="B177" s="12" t="s">
        <v>206</v>
      </c>
      <c r="C177" s="12" t="s">
        <v>26</v>
      </c>
      <c r="D177" s="13" t="str">
        <f>IF(OR(TabEmbargos[[#This Row],[Impedida sem Imissão na Posse]]="S",TabEmbargos[[#This Row],[Impedida com Imissão na Posse]]="S"),"E","L")</f>
        <v>E</v>
      </c>
      <c r="E177" s="13" t="str">
        <f>IF(COUNTIF(TabEmbargos[[#This Row],[Embargo Projeto]:[Embargo Meio Ambiente]],"S"),"S","N")</f>
        <v>S</v>
      </c>
      <c r="F177" s="13" t="str">
        <f>IF(AND(TabEmbargos[[#This Row],[Embargo Projeto]]="S",TabEmbargos[[#This Row],[Embargo Fundiário]]="S"),"S","N")</f>
        <v>S</v>
      </c>
      <c r="G177" s="13" t="s">
        <v>24</v>
      </c>
      <c r="H177" s="13" t="s">
        <v>24</v>
      </c>
      <c r="I177" s="13" t="s">
        <v>24</v>
      </c>
      <c r="J177" s="13" t="s">
        <v>24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</row>
    <row r="178" spans="1:15" x14ac:dyDescent="0.3">
      <c r="A178" s="15">
        <v>175</v>
      </c>
      <c r="B178" s="12" t="s">
        <v>207</v>
      </c>
      <c r="C178" s="12" t="s">
        <v>42</v>
      </c>
      <c r="D178" s="13" t="str">
        <f>IF(OR(TabEmbargos[[#This Row],[Impedida sem Imissão na Posse]]="S",TabEmbargos[[#This Row],[Impedida com Imissão na Posse]]="S"),"E","L")</f>
        <v>E</v>
      </c>
      <c r="E178" s="13" t="str">
        <f>IF(COUNTIF(TabEmbargos[[#This Row],[Embargo Projeto]:[Embargo Meio Ambiente]],"S"),"S","N")</f>
        <v>S</v>
      </c>
      <c r="F178" s="13" t="str">
        <f>IF(AND(TabEmbargos[[#This Row],[Embargo Projeto]]="S",TabEmbargos[[#This Row],[Embargo Fundiário]]="S"),"S","N")</f>
        <v>S</v>
      </c>
      <c r="G178" s="13" t="s">
        <v>21</v>
      </c>
      <c r="H178" s="13" t="s">
        <v>24</v>
      </c>
      <c r="I178" s="13" t="s">
        <v>24</v>
      </c>
      <c r="J178" s="13" t="s">
        <v>24</v>
      </c>
      <c r="K178" s="13" t="s">
        <v>21</v>
      </c>
      <c r="L178" s="13" t="s">
        <v>24</v>
      </c>
      <c r="M178" s="13" t="s">
        <v>21</v>
      </c>
      <c r="N178" s="13" t="s">
        <v>21</v>
      </c>
      <c r="O178" s="13" t="s">
        <v>21</v>
      </c>
    </row>
    <row r="179" spans="1:15" x14ac:dyDescent="0.3">
      <c r="A179" s="15">
        <v>176</v>
      </c>
      <c r="B179" s="12" t="s">
        <v>208</v>
      </c>
      <c r="C179" s="12" t="s">
        <v>32</v>
      </c>
      <c r="D179" s="13" t="str">
        <f>IF(OR(TabEmbargos[[#This Row],[Impedida sem Imissão na Posse]]="S",TabEmbargos[[#This Row],[Impedida com Imissão na Posse]]="S"),"E","L")</f>
        <v>E</v>
      </c>
      <c r="E179" s="13" t="str">
        <f>IF(COUNTIF(TabEmbargos[[#This Row],[Embargo Projeto]:[Embargo Meio Ambiente]],"S"),"S","N")</f>
        <v>S</v>
      </c>
      <c r="F179" s="13" t="str">
        <f>IF(AND(TabEmbargos[[#This Row],[Embargo Projeto]]="S",TabEmbargos[[#This Row],[Embargo Fundiário]]="S"),"S","N")</f>
        <v>S</v>
      </c>
      <c r="G179" s="13" t="s">
        <v>21</v>
      </c>
      <c r="H179" s="13" t="s">
        <v>24</v>
      </c>
      <c r="I179" s="13" t="s">
        <v>24</v>
      </c>
      <c r="J179" s="13" t="s">
        <v>24</v>
      </c>
      <c r="K179" s="13" t="s">
        <v>21</v>
      </c>
      <c r="L179" s="13" t="s">
        <v>24</v>
      </c>
      <c r="M179" s="13" t="s">
        <v>21</v>
      </c>
      <c r="N179" s="13" t="s">
        <v>21</v>
      </c>
      <c r="O179" s="13" t="s">
        <v>21</v>
      </c>
    </row>
    <row r="180" spans="1:15" x14ac:dyDescent="0.3">
      <c r="A180" s="15">
        <v>177</v>
      </c>
      <c r="B180" s="12" t="s">
        <v>209</v>
      </c>
      <c r="C180" s="12" t="s">
        <v>72</v>
      </c>
      <c r="D180" s="13" t="str">
        <f>IF(OR(TabEmbargos[[#This Row],[Impedida sem Imissão na Posse]]="S",TabEmbargos[[#This Row],[Impedida com Imissão na Posse]]="S"),"E","L")</f>
        <v>E</v>
      </c>
      <c r="E180" s="13" t="str">
        <f>IF(COUNTIF(TabEmbargos[[#This Row],[Embargo Projeto]:[Embargo Meio Ambiente]],"S"),"S","N")</f>
        <v>S</v>
      </c>
      <c r="F180" s="13" t="str">
        <f>IF(AND(TabEmbargos[[#This Row],[Embargo Projeto]]="S",TabEmbargos[[#This Row],[Embargo Fundiário]]="S"),"S","N")</f>
        <v>S</v>
      </c>
      <c r="G180" s="13" t="s">
        <v>21</v>
      </c>
      <c r="H180" s="13" t="s">
        <v>24</v>
      </c>
      <c r="I180" s="13" t="s">
        <v>24</v>
      </c>
      <c r="J180" s="13" t="s">
        <v>24</v>
      </c>
      <c r="K180" s="13" t="s">
        <v>21</v>
      </c>
      <c r="L180" s="13" t="s">
        <v>21</v>
      </c>
      <c r="M180" s="13" t="s">
        <v>21</v>
      </c>
      <c r="N180" s="13" t="s">
        <v>21</v>
      </c>
      <c r="O180" s="13" t="s">
        <v>21</v>
      </c>
    </row>
    <row r="181" spans="1:15" x14ac:dyDescent="0.3">
      <c r="A181" s="15">
        <v>178</v>
      </c>
      <c r="B181" s="12" t="s">
        <v>210</v>
      </c>
      <c r="C181" s="12" t="s">
        <v>72</v>
      </c>
      <c r="D181" s="13" t="str">
        <f>IF(OR(TabEmbargos[[#This Row],[Impedida sem Imissão na Posse]]="S",TabEmbargos[[#This Row],[Impedida com Imissão na Posse]]="S"),"E","L")</f>
        <v>E</v>
      </c>
      <c r="E181" s="13" t="str">
        <f>IF(COUNTIF(TabEmbargos[[#This Row],[Embargo Projeto]:[Embargo Meio Ambiente]],"S"),"S","N")</f>
        <v>S</v>
      </c>
      <c r="F181" s="13" t="str">
        <f>IF(AND(TabEmbargos[[#This Row],[Embargo Projeto]]="S",TabEmbargos[[#This Row],[Embargo Fundiário]]="S"),"S","N")</f>
        <v>S</v>
      </c>
      <c r="G181" s="13" t="s">
        <v>21</v>
      </c>
      <c r="H181" s="13" t="s">
        <v>24</v>
      </c>
      <c r="I181" s="13" t="s">
        <v>24</v>
      </c>
      <c r="J181" s="13" t="s">
        <v>24</v>
      </c>
      <c r="K181" s="13" t="s">
        <v>21</v>
      </c>
      <c r="L181" s="13" t="s">
        <v>21</v>
      </c>
      <c r="M181" s="13" t="s">
        <v>21</v>
      </c>
      <c r="N181" s="13" t="s">
        <v>21</v>
      </c>
      <c r="O181" s="13" t="s">
        <v>21</v>
      </c>
    </row>
    <row r="182" spans="1:15" x14ac:dyDescent="0.3">
      <c r="A182" s="15">
        <v>179</v>
      </c>
      <c r="B182" s="12" t="s">
        <v>211</v>
      </c>
      <c r="C182" s="12" t="s">
        <v>32</v>
      </c>
      <c r="D182" s="13" t="str">
        <f>IF(OR(TabEmbargos[[#This Row],[Impedida sem Imissão na Posse]]="S",TabEmbargos[[#This Row],[Impedida com Imissão na Posse]]="S"),"E","L")</f>
        <v>E</v>
      </c>
      <c r="E182" s="13" t="str">
        <f>IF(COUNTIF(TabEmbargos[[#This Row],[Embargo Projeto]:[Embargo Meio Ambiente]],"S"),"S","N")</f>
        <v>S</v>
      </c>
      <c r="F182" s="13" t="str">
        <f>IF(AND(TabEmbargos[[#This Row],[Embargo Projeto]]="S",TabEmbargos[[#This Row],[Embargo Fundiário]]="S"),"S","N")</f>
        <v>S</v>
      </c>
      <c r="G182" s="13" t="s">
        <v>21</v>
      </c>
      <c r="H182" s="13" t="s">
        <v>24</v>
      </c>
      <c r="I182" s="13" t="s">
        <v>24</v>
      </c>
      <c r="J182" s="13" t="s">
        <v>24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</row>
    <row r="183" spans="1:15" x14ac:dyDescent="0.3">
      <c r="A183" s="15">
        <v>180</v>
      </c>
      <c r="B183" s="12" t="s">
        <v>212</v>
      </c>
      <c r="C183" s="12" t="s">
        <v>37</v>
      </c>
      <c r="D183" s="13" t="str">
        <f>IF(OR(TabEmbargos[[#This Row],[Impedida sem Imissão na Posse]]="S",TabEmbargos[[#This Row],[Impedida com Imissão na Posse]]="S"),"E","L")</f>
        <v>E</v>
      </c>
      <c r="E183" s="13" t="str">
        <f>IF(COUNTIF(TabEmbargos[[#This Row],[Embargo Projeto]:[Embargo Meio Ambiente]],"S"),"S","N")</f>
        <v>S</v>
      </c>
      <c r="F183" s="13" t="str">
        <f>IF(AND(TabEmbargos[[#This Row],[Embargo Projeto]]="S",TabEmbargos[[#This Row],[Embargo Fundiário]]="S"),"S","N")</f>
        <v>S</v>
      </c>
      <c r="G183" s="13" t="s">
        <v>21</v>
      </c>
      <c r="H183" s="13" t="s">
        <v>24</v>
      </c>
      <c r="I183" s="13" t="s">
        <v>24</v>
      </c>
      <c r="J183" s="13" t="s">
        <v>24</v>
      </c>
      <c r="K183" s="13" t="s">
        <v>21</v>
      </c>
      <c r="L183" s="13" t="s">
        <v>21</v>
      </c>
      <c r="M183" s="13" t="s">
        <v>21</v>
      </c>
      <c r="N183" s="13" t="s">
        <v>21</v>
      </c>
      <c r="O183" s="13" t="s">
        <v>21</v>
      </c>
    </row>
    <row r="184" spans="1:15" x14ac:dyDescent="0.3">
      <c r="A184" s="15">
        <v>181</v>
      </c>
      <c r="B184" s="12" t="s">
        <v>213</v>
      </c>
      <c r="C184" s="12" t="s">
        <v>42</v>
      </c>
      <c r="D184" s="13" t="str">
        <f>IF(OR(TabEmbargos[[#This Row],[Impedida sem Imissão na Posse]]="S",TabEmbargos[[#This Row],[Impedida com Imissão na Posse]]="S"),"E","L")</f>
        <v>E</v>
      </c>
      <c r="E184" s="13" t="str">
        <f>IF(COUNTIF(TabEmbargos[[#This Row],[Embargo Projeto]:[Embargo Meio Ambiente]],"S"),"S","N")</f>
        <v>S</v>
      </c>
      <c r="F184" s="13" t="str">
        <f>IF(AND(TabEmbargos[[#This Row],[Embargo Projeto]]="S",TabEmbargos[[#This Row],[Embargo Fundiário]]="S"),"S","N")</f>
        <v>S</v>
      </c>
      <c r="G184" s="13" t="s">
        <v>21</v>
      </c>
      <c r="H184" s="13" t="s">
        <v>24</v>
      </c>
      <c r="I184" s="13" t="s">
        <v>24</v>
      </c>
      <c r="J184" s="13" t="s">
        <v>24</v>
      </c>
      <c r="K184" s="13" t="s">
        <v>21</v>
      </c>
      <c r="L184" s="13" t="s">
        <v>24</v>
      </c>
      <c r="M184" s="13" t="s">
        <v>21</v>
      </c>
      <c r="N184" s="13" t="s">
        <v>21</v>
      </c>
      <c r="O184" s="13" t="s">
        <v>21</v>
      </c>
    </row>
    <row r="185" spans="1:15" x14ac:dyDescent="0.3">
      <c r="A185" s="15">
        <v>182</v>
      </c>
      <c r="B185" s="12" t="s">
        <v>214</v>
      </c>
      <c r="C185" s="12" t="s">
        <v>26</v>
      </c>
      <c r="D185" s="13" t="str">
        <f>IF(OR(TabEmbargos[[#This Row],[Impedida sem Imissão na Posse]]="S",TabEmbargos[[#This Row],[Impedida com Imissão na Posse]]="S"),"E","L")</f>
        <v>E</v>
      </c>
      <c r="E185" s="13" t="str">
        <f>IF(COUNTIF(TabEmbargos[[#This Row],[Embargo Projeto]:[Embargo Meio Ambiente]],"S"),"S","N")</f>
        <v>S</v>
      </c>
      <c r="F185" s="13" t="str">
        <f>IF(AND(TabEmbargos[[#This Row],[Embargo Projeto]]="S",TabEmbargos[[#This Row],[Embargo Fundiário]]="S"),"S","N")</f>
        <v>S</v>
      </c>
      <c r="G185" s="13" t="s">
        <v>21</v>
      </c>
      <c r="H185" s="13" t="s">
        <v>24</v>
      </c>
      <c r="I185" s="13" t="s">
        <v>24</v>
      </c>
      <c r="J185" s="13" t="s">
        <v>24</v>
      </c>
      <c r="K185" s="13" t="s">
        <v>21</v>
      </c>
      <c r="L185" s="13" t="s">
        <v>24</v>
      </c>
      <c r="M185" s="13" t="s">
        <v>21</v>
      </c>
      <c r="N185" s="13" t="s">
        <v>21</v>
      </c>
      <c r="O185" s="13" t="s">
        <v>21</v>
      </c>
    </row>
    <row r="186" spans="1:15" x14ac:dyDescent="0.3">
      <c r="A186" s="15">
        <v>183</v>
      </c>
      <c r="B186" s="12" t="s">
        <v>215</v>
      </c>
      <c r="C186" s="12" t="s">
        <v>26</v>
      </c>
      <c r="D186" s="13" t="str">
        <f>IF(OR(TabEmbargos[[#This Row],[Impedida sem Imissão na Posse]]="S",TabEmbargos[[#This Row],[Impedida com Imissão na Posse]]="S"),"E","L")</f>
        <v>E</v>
      </c>
      <c r="E186" s="13" t="str">
        <f>IF(COUNTIF(TabEmbargos[[#This Row],[Embargo Projeto]:[Embargo Meio Ambiente]],"S"),"S","N")</f>
        <v>S</v>
      </c>
      <c r="F186" s="13" t="str">
        <f>IF(AND(TabEmbargos[[#This Row],[Embargo Projeto]]="S",TabEmbargos[[#This Row],[Embargo Fundiário]]="S"),"S","N")</f>
        <v>S</v>
      </c>
      <c r="G186" s="13" t="s">
        <v>21</v>
      </c>
      <c r="H186" s="13" t="s">
        <v>24</v>
      </c>
      <c r="I186" s="13" t="s">
        <v>24</v>
      </c>
      <c r="J186" s="13" t="s">
        <v>24</v>
      </c>
      <c r="K186" s="13" t="s">
        <v>21</v>
      </c>
      <c r="L186" s="13" t="s">
        <v>24</v>
      </c>
      <c r="M186" s="13" t="s">
        <v>21</v>
      </c>
      <c r="N186" s="13" t="s">
        <v>21</v>
      </c>
      <c r="O186" s="13" t="s">
        <v>21</v>
      </c>
    </row>
    <row r="187" spans="1:15" x14ac:dyDescent="0.3">
      <c r="A187" s="15">
        <v>184</v>
      </c>
      <c r="B187" s="12" t="s">
        <v>216</v>
      </c>
      <c r="C187" s="12" t="s">
        <v>26</v>
      </c>
      <c r="D187" s="13" t="str">
        <f>IF(OR(TabEmbargos[[#This Row],[Impedida sem Imissão na Posse]]="S",TabEmbargos[[#This Row],[Impedida com Imissão na Posse]]="S"),"E","L")</f>
        <v>E</v>
      </c>
      <c r="E187" s="13" t="str">
        <f>IF(COUNTIF(TabEmbargos[[#This Row],[Embargo Projeto]:[Embargo Meio Ambiente]],"S"),"S","N")</f>
        <v>S</v>
      </c>
      <c r="F187" s="13" t="str">
        <f>IF(AND(TabEmbargos[[#This Row],[Embargo Projeto]]="S",TabEmbargos[[#This Row],[Embargo Fundiário]]="S"),"S","N")</f>
        <v>S</v>
      </c>
      <c r="G187" s="13" t="s">
        <v>21</v>
      </c>
      <c r="H187" s="13" t="s">
        <v>24</v>
      </c>
      <c r="I187" s="13" t="s">
        <v>24</v>
      </c>
      <c r="J187" s="13" t="s">
        <v>24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</row>
    <row r="188" spans="1:15" x14ac:dyDescent="0.3">
      <c r="A188" s="15">
        <v>185</v>
      </c>
      <c r="B188" s="12" t="s">
        <v>217</v>
      </c>
      <c r="C188" s="12" t="s">
        <v>37</v>
      </c>
      <c r="D188" s="13" t="str">
        <f>IF(OR(TabEmbargos[[#This Row],[Impedida sem Imissão na Posse]]="S",TabEmbargos[[#This Row],[Impedida com Imissão na Posse]]="S"),"E","L")</f>
        <v>E</v>
      </c>
      <c r="E188" s="13" t="str">
        <f>IF(COUNTIF(TabEmbargos[[#This Row],[Embargo Projeto]:[Embargo Meio Ambiente]],"S"),"S","N")</f>
        <v>S</v>
      </c>
      <c r="F188" s="13" t="str">
        <f>IF(AND(TabEmbargos[[#This Row],[Embargo Projeto]]="S",TabEmbargos[[#This Row],[Embargo Fundiário]]="S"),"S","N")</f>
        <v>S</v>
      </c>
      <c r="G188" s="13" t="s">
        <v>24</v>
      </c>
      <c r="H188" s="13" t="s">
        <v>24</v>
      </c>
      <c r="I188" s="13" t="s">
        <v>24</v>
      </c>
      <c r="J188" s="13" t="s">
        <v>24</v>
      </c>
      <c r="K188" s="13" t="s">
        <v>21</v>
      </c>
      <c r="L188" s="13" t="s">
        <v>21</v>
      </c>
      <c r="M188" s="13" t="s">
        <v>21</v>
      </c>
      <c r="N188" s="13" t="s">
        <v>21</v>
      </c>
      <c r="O188" s="13" t="s">
        <v>21</v>
      </c>
    </row>
    <row r="189" spans="1:15" x14ac:dyDescent="0.3">
      <c r="A189" s="15">
        <v>186</v>
      </c>
      <c r="B189" s="12" t="s">
        <v>218</v>
      </c>
      <c r="C189" s="12" t="s">
        <v>32</v>
      </c>
      <c r="D189" s="13" t="str">
        <f>IF(OR(TabEmbargos[[#This Row],[Impedida sem Imissão na Posse]]="S",TabEmbargos[[#This Row],[Impedida com Imissão na Posse]]="S"),"E","L")</f>
        <v>E</v>
      </c>
      <c r="E189" s="13" t="str">
        <f>IF(COUNTIF(TabEmbargos[[#This Row],[Embargo Projeto]:[Embargo Meio Ambiente]],"S"),"S","N")</f>
        <v>S</v>
      </c>
      <c r="F189" s="13" t="str">
        <f>IF(AND(TabEmbargos[[#This Row],[Embargo Projeto]]="S",TabEmbargos[[#This Row],[Embargo Fundiário]]="S"),"S","N")</f>
        <v>S</v>
      </c>
      <c r="G189" s="13" t="s">
        <v>21</v>
      </c>
      <c r="H189" s="13" t="s">
        <v>24</v>
      </c>
      <c r="I189" s="13" t="s">
        <v>24</v>
      </c>
      <c r="J189" s="13" t="s">
        <v>24</v>
      </c>
      <c r="K189" s="13" t="s">
        <v>21</v>
      </c>
      <c r="L189" s="13" t="s">
        <v>24</v>
      </c>
      <c r="M189" s="13" t="s">
        <v>21</v>
      </c>
      <c r="N189" s="13" t="s">
        <v>21</v>
      </c>
      <c r="O189" s="13" t="s">
        <v>21</v>
      </c>
    </row>
    <row r="190" spans="1:15" x14ac:dyDescent="0.3">
      <c r="A190" s="15">
        <v>187</v>
      </c>
      <c r="B190" s="12" t="s">
        <v>219</v>
      </c>
      <c r="C190" s="12" t="s">
        <v>52</v>
      </c>
      <c r="D190" s="13" t="str">
        <f>IF(OR(TabEmbargos[[#This Row],[Impedida sem Imissão na Posse]]="S",TabEmbargos[[#This Row],[Impedida com Imissão na Posse]]="S"),"E","L")</f>
        <v>E</v>
      </c>
      <c r="E190" s="13" t="str">
        <f>IF(COUNTIF(TabEmbargos[[#This Row],[Embargo Projeto]:[Embargo Meio Ambiente]],"S"),"S","N")</f>
        <v>S</v>
      </c>
      <c r="F190" s="13" t="str">
        <f>IF(AND(TabEmbargos[[#This Row],[Embargo Projeto]]="S",TabEmbargos[[#This Row],[Embargo Fundiário]]="S"),"S","N")</f>
        <v>N</v>
      </c>
      <c r="G190" s="13" t="s">
        <v>24</v>
      </c>
      <c r="H190" s="13" t="s">
        <v>24</v>
      </c>
      <c r="I190" s="13" t="s">
        <v>24</v>
      </c>
      <c r="J190" s="13" t="s">
        <v>21</v>
      </c>
      <c r="K190" s="13" t="s">
        <v>21</v>
      </c>
      <c r="L190" s="13" t="s">
        <v>21</v>
      </c>
      <c r="M190" s="13" t="s">
        <v>21</v>
      </c>
      <c r="N190" s="13" t="s">
        <v>21</v>
      </c>
      <c r="O190" s="13" t="s">
        <v>21</v>
      </c>
    </row>
    <row r="191" spans="1:15" x14ac:dyDescent="0.3">
      <c r="A191" s="15">
        <v>188</v>
      </c>
      <c r="B191" s="12" t="s">
        <v>220</v>
      </c>
      <c r="C191" s="12" t="s">
        <v>52</v>
      </c>
      <c r="D191" s="13" t="str">
        <f>IF(OR(TabEmbargos[[#This Row],[Impedida sem Imissão na Posse]]="S",TabEmbargos[[#This Row],[Impedida com Imissão na Posse]]="S"),"E","L")</f>
        <v>E</v>
      </c>
      <c r="E191" s="13" t="str">
        <f>IF(COUNTIF(TabEmbargos[[#This Row],[Embargo Projeto]:[Embargo Meio Ambiente]],"S"),"S","N")</f>
        <v>S</v>
      </c>
      <c r="F191" s="13" t="str">
        <f>IF(AND(TabEmbargos[[#This Row],[Embargo Projeto]]="S",TabEmbargos[[#This Row],[Embargo Fundiário]]="S"),"S","N")</f>
        <v>N</v>
      </c>
      <c r="G191" s="13" t="s">
        <v>24</v>
      </c>
      <c r="H191" s="13" t="s">
        <v>24</v>
      </c>
      <c r="I191" s="13" t="s">
        <v>24</v>
      </c>
      <c r="J191" s="13" t="s">
        <v>21</v>
      </c>
      <c r="K191" s="13" t="s">
        <v>21</v>
      </c>
      <c r="L191" s="13" t="s">
        <v>21</v>
      </c>
      <c r="M191" s="13" t="s">
        <v>21</v>
      </c>
      <c r="N191" s="13" t="s">
        <v>21</v>
      </c>
      <c r="O191" s="13" t="s">
        <v>21</v>
      </c>
    </row>
    <row r="192" spans="1:15" x14ac:dyDescent="0.3">
      <c r="A192" s="15">
        <v>189</v>
      </c>
      <c r="B192" s="12" t="s">
        <v>221</v>
      </c>
      <c r="C192" s="12" t="s">
        <v>52</v>
      </c>
      <c r="D192" s="13" t="str">
        <f>IF(OR(TabEmbargos[[#This Row],[Impedida sem Imissão na Posse]]="S",TabEmbargos[[#This Row],[Impedida com Imissão na Posse]]="S"),"E","L")</f>
        <v>E</v>
      </c>
      <c r="E192" s="13" t="str">
        <f>IF(COUNTIF(TabEmbargos[[#This Row],[Embargo Projeto]:[Embargo Meio Ambiente]],"S"),"S","N")</f>
        <v>S</v>
      </c>
      <c r="F192" s="13" t="str">
        <f>IF(AND(TabEmbargos[[#This Row],[Embargo Projeto]]="S",TabEmbargos[[#This Row],[Embargo Fundiário]]="S"),"S","N")</f>
        <v>N</v>
      </c>
      <c r="G192" s="13" t="s">
        <v>24</v>
      </c>
      <c r="H192" s="13" t="s">
        <v>24</v>
      </c>
      <c r="I192" s="13" t="s">
        <v>24</v>
      </c>
      <c r="J192" s="13" t="s">
        <v>21</v>
      </c>
      <c r="K192" s="13" t="s">
        <v>21</v>
      </c>
      <c r="L192" s="13" t="s">
        <v>21</v>
      </c>
      <c r="M192" s="13" t="s">
        <v>21</v>
      </c>
      <c r="N192" s="13" t="s">
        <v>21</v>
      </c>
      <c r="O192" s="13" t="s">
        <v>21</v>
      </c>
    </row>
    <row r="193" spans="1:15" x14ac:dyDescent="0.3">
      <c r="A193" s="15">
        <v>190</v>
      </c>
      <c r="B193" s="12" t="s">
        <v>222</v>
      </c>
      <c r="C193" s="12" t="s">
        <v>52</v>
      </c>
      <c r="D193" s="13" t="str">
        <f>IF(OR(TabEmbargos[[#This Row],[Impedida sem Imissão na Posse]]="S",TabEmbargos[[#This Row],[Impedida com Imissão na Posse]]="S"),"E","L")</f>
        <v>E</v>
      </c>
      <c r="E193" s="13" t="str">
        <f>IF(COUNTIF(TabEmbargos[[#This Row],[Embargo Projeto]:[Embargo Meio Ambiente]],"S"),"S","N")</f>
        <v>S</v>
      </c>
      <c r="F193" s="13" t="str">
        <f>IF(AND(TabEmbargos[[#This Row],[Embargo Projeto]]="S",TabEmbargos[[#This Row],[Embargo Fundiário]]="S"),"S","N")</f>
        <v>N</v>
      </c>
      <c r="G193" s="13" t="s">
        <v>21</v>
      </c>
      <c r="H193" s="13" t="s">
        <v>24</v>
      </c>
      <c r="I193" s="13" t="s">
        <v>24</v>
      </c>
      <c r="J193" s="13" t="s">
        <v>21</v>
      </c>
      <c r="K193" s="13" t="s">
        <v>21</v>
      </c>
      <c r="L193" s="13" t="s">
        <v>24</v>
      </c>
      <c r="M193" s="13" t="s">
        <v>21</v>
      </c>
      <c r="N193" s="13" t="s">
        <v>21</v>
      </c>
      <c r="O193" s="13" t="s">
        <v>21</v>
      </c>
    </row>
    <row r="194" spans="1:15" x14ac:dyDescent="0.3">
      <c r="A194" s="15">
        <v>191</v>
      </c>
      <c r="B194" s="12" t="s">
        <v>223</v>
      </c>
      <c r="C194" s="12" t="s">
        <v>30</v>
      </c>
      <c r="D194" s="13" t="str">
        <f>IF(OR(TabEmbargos[[#This Row],[Impedida sem Imissão na Posse]]="S",TabEmbargos[[#This Row],[Impedida com Imissão na Posse]]="S"),"E","L")</f>
        <v>E</v>
      </c>
      <c r="E194" s="13" t="str">
        <f>IF(COUNTIF(TabEmbargos[[#This Row],[Embargo Projeto]:[Embargo Meio Ambiente]],"S"),"S","N")</f>
        <v>S</v>
      </c>
      <c r="F194" s="13" t="str">
        <f>IF(AND(TabEmbargos[[#This Row],[Embargo Projeto]]="S",TabEmbargos[[#This Row],[Embargo Fundiário]]="S"),"S","N")</f>
        <v>N</v>
      </c>
      <c r="G194" s="13" t="s">
        <v>21</v>
      </c>
      <c r="H194" s="13" t="s">
        <v>21</v>
      </c>
      <c r="I194" s="13" t="s">
        <v>24</v>
      </c>
      <c r="J194" s="13" t="s">
        <v>21</v>
      </c>
      <c r="K194" s="13" t="s">
        <v>21</v>
      </c>
      <c r="L194" s="13" t="s">
        <v>21</v>
      </c>
      <c r="M194" s="13" t="s">
        <v>21</v>
      </c>
      <c r="N194" s="13" t="s">
        <v>21</v>
      </c>
      <c r="O194" s="13" t="s">
        <v>21</v>
      </c>
    </row>
    <row r="195" spans="1:15" x14ac:dyDescent="0.3">
      <c r="A195" s="15">
        <v>192</v>
      </c>
      <c r="B195" s="12" t="s">
        <v>224</v>
      </c>
      <c r="C195" s="12" t="s">
        <v>52</v>
      </c>
      <c r="D195" s="13" t="str">
        <f>IF(OR(TabEmbargos[[#This Row],[Impedida sem Imissão na Posse]]="S",TabEmbargos[[#This Row],[Impedida com Imissão na Posse]]="S"),"E","L")</f>
        <v>E</v>
      </c>
      <c r="E195" s="13" t="str">
        <f>IF(COUNTIF(TabEmbargos[[#This Row],[Embargo Projeto]:[Embargo Meio Ambiente]],"S"),"S","N")</f>
        <v>S</v>
      </c>
      <c r="F195" s="13" t="str">
        <f>IF(AND(TabEmbargos[[#This Row],[Embargo Projeto]]="S",TabEmbargos[[#This Row],[Embargo Fundiário]]="S"),"S","N")</f>
        <v>N</v>
      </c>
      <c r="G195" s="13" t="s">
        <v>24</v>
      </c>
      <c r="H195" s="13" t="s">
        <v>21</v>
      </c>
      <c r="I195" s="13" t="s">
        <v>21</v>
      </c>
      <c r="J195" s="13" t="s">
        <v>24</v>
      </c>
      <c r="K195" s="13" t="s">
        <v>21</v>
      </c>
      <c r="L195" s="13" t="s">
        <v>21</v>
      </c>
      <c r="M195" s="13" t="s">
        <v>21</v>
      </c>
      <c r="N195" s="13" t="s">
        <v>21</v>
      </c>
      <c r="O195" s="13" t="s">
        <v>21</v>
      </c>
    </row>
    <row r="196" spans="1:15" x14ac:dyDescent="0.3">
      <c r="A196" s="15">
        <v>193</v>
      </c>
      <c r="B196" s="12" t="s">
        <v>225</v>
      </c>
      <c r="C196" s="12" t="s">
        <v>26</v>
      </c>
      <c r="D196" s="13" t="str">
        <f>IF(OR(TabEmbargos[[#This Row],[Impedida sem Imissão na Posse]]="S",TabEmbargos[[#This Row],[Impedida com Imissão na Posse]]="S"),"E","L")</f>
        <v>E</v>
      </c>
      <c r="E196" s="13" t="str">
        <f>IF(COUNTIF(TabEmbargos[[#This Row],[Embargo Projeto]:[Embargo Meio Ambiente]],"S"),"S","N")</f>
        <v>S</v>
      </c>
      <c r="F196" s="13" t="str">
        <f>IF(AND(TabEmbargos[[#This Row],[Embargo Projeto]]="S",TabEmbargos[[#This Row],[Embargo Fundiário]]="S"),"S","N")</f>
        <v>N</v>
      </c>
      <c r="G196" s="13" t="s">
        <v>24</v>
      </c>
      <c r="H196" s="13" t="s">
        <v>21</v>
      </c>
      <c r="I196" s="13" t="s">
        <v>21</v>
      </c>
      <c r="J196" s="13" t="s">
        <v>24</v>
      </c>
      <c r="K196" s="13" t="s">
        <v>21</v>
      </c>
      <c r="L196" s="13" t="s">
        <v>21</v>
      </c>
      <c r="M196" s="13" t="s">
        <v>21</v>
      </c>
      <c r="N196" s="13" t="s">
        <v>21</v>
      </c>
      <c r="O196" s="13" t="s">
        <v>21</v>
      </c>
    </row>
    <row r="197" spans="1:15" x14ac:dyDescent="0.3">
      <c r="A197" s="15">
        <v>194</v>
      </c>
      <c r="B197" s="12" t="s">
        <v>226</v>
      </c>
      <c r="C197" s="12" t="s">
        <v>52</v>
      </c>
      <c r="D197" s="13" t="str">
        <f>IF(OR(TabEmbargos[[#This Row],[Impedida sem Imissão na Posse]]="S",TabEmbargos[[#This Row],[Impedida com Imissão na Posse]]="S"),"E","L")</f>
        <v>E</v>
      </c>
      <c r="E197" s="13" t="str">
        <f>IF(COUNTIF(TabEmbargos[[#This Row],[Embargo Projeto]:[Embargo Meio Ambiente]],"S"),"S","N")</f>
        <v>S</v>
      </c>
      <c r="F197" s="13" t="str">
        <f>IF(AND(TabEmbargos[[#This Row],[Embargo Projeto]]="S",TabEmbargos[[#This Row],[Embargo Fundiário]]="S"),"S","N")</f>
        <v>N</v>
      </c>
      <c r="G197" s="13" t="s">
        <v>24</v>
      </c>
      <c r="H197" s="13" t="s">
        <v>21</v>
      </c>
      <c r="I197" s="13" t="s">
        <v>21</v>
      </c>
      <c r="J197" s="13" t="s">
        <v>24</v>
      </c>
      <c r="K197" s="13" t="s">
        <v>21</v>
      </c>
      <c r="L197" s="13" t="s">
        <v>21</v>
      </c>
      <c r="M197" s="13" t="s">
        <v>21</v>
      </c>
      <c r="N197" s="13" t="s">
        <v>21</v>
      </c>
      <c r="O197" s="13" t="s">
        <v>21</v>
      </c>
    </row>
    <row r="198" spans="1:15" x14ac:dyDescent="0.3">
      <c r="A198" s="15">
        <v>195</v>
      </c>
      <c r="B198" s="12" t="s">
        <v>227</v>
      </c>
      <c r="C198" s="12" t="s">
        <v>30</v>
      </c>
      <c r="D198" s="13" t="str">
        <f>IF(OR(TabEmbargos[[#This Row],[Impedida sem Imissão na Posse]]="S",TabEmbargos[[#This Row],[Impedida com Imissão na Posse]]="S"),"E","L")</f>
        <v>E</v>
      </c>
      <c r="E198" s="13" t="str">
        <f>IF(COUNTIF(TabEmbargos[[#This Row],[Embargo Projeto]:[Embargo Meio Ambiente]],"S"),"S","N")</f>
        <v>S</v>
      </c>
      <c r="F198" s="13" t="str">
        <f>IF(AND(TabEmbargos[[#This Row],[Embargo Projeto]]="S",TabEmbargos[[#This Row],[Embargo Fundiário]]="S"),"S","N")</f>
        <v>N</v>
      </c>
      <c r="G198" s="13" t="s">
        <v>21</v>
      </c>
      <c r="H198" s="13" t="s">
        <v>21</v>
      </c>
      <c r="I198" s="13" t="s">
        <v>21</v>
      </c>
      <c r="J198" s="13" t="s">
        <v>24</v>
      </c>
      <c r="K198" s="13" t="s">
        <v>21</v>
      </c>
      <c r="L198" s="13" t="s">
        <v>24</v>
      </c>
      <c r="M198" s="13" t="s">
        <v>21</v>
      </c>
      <c r="N198" s="13" t="s">
        <v>21</v>
      </c>
      <c r="O198" s="13" t="s">
        <v>21</v>
      </c>
    </row>
    <row r="199" spans="1:15" x14ac:dyDescent="0.3">
      <c r="A199" s="15">
        <v>196</v>
      </c>
      <c r="B199" s="12" t="s">
        <v>228</v>
      </c>
      <c r="C199" s="12" t="s">
        <v>30</v>
      </c>
      <c r="D199" s="13" t="str">
        <f>IF(OR(TabEmbargos[[#This Row],[Impedida sem Imissão na Posse]]="S",TabEmbargos[[#This Row],[Impedida com Imissão na Posse]]="S"),"E","L")</f>
        <v>E</v>
      </c>
      <c r="E199" s="13" t="str">
        <f>IF(COUNTIF(TabEmbargos[[#This Row],[Embargo Projeto]:[Embargo Meio Ambiente]],"S"),"S","N")</f>
        <v>S</v>
      </c>
      <c r="F199" s="13" t="str">
        <f>IF(AND(TabEmbargos[[#This Row],[Embargo Projeto]]="S",TabEmbargos[[#This Row],[Embargo Fundiário]]="S"),"S","N")</f>
        <v>N</v>
      </c>
      <c r="G199" s="13" t="s">
        <v>24</v>
      </c>
      <c r="H199" s="13" t="s">
        <v>21</v>
      </c>
      <c r="I199" s="13" t="s">
        <v>21</v>
      </c>
      <c r="J199" s="13" t="s">
        <v>24</v>
      </c>
      <c r="K199" s="13" t="s">
        <v>21</v>
      </c>
      <c r="L199" s="13" t="s">
        <v>24</v>
      </c>
      <c r="M199" s="13" t="s">
        <v>21</v>
      </c>
      <c r="N199" s="13" t="s">
        <v>21</v>
      </c>
      <c r="O199" s="13" t="s">
        <v>21</v>
      </c>
    </row>
    <row r="200" spans="1:15" x14ac:dyDescent="0.3">
      <c r="A200" s="15">
        <v>197</v>
      </c>
      <c r="B200" s="12" t="s">
        <v>229</v>
      </c>
      <c r="C200" s="12" t="s">
        <v>26</v>
      </c>
      <c r="D200" s="13" t="str">
        <f>IF(OR(TabEmbargos[[#This Row],[Impedida sem Imissão na Posse]]="S",TabEmbargos[[#This Row],[Impedida com Imissão na Posse]]="S"),"E","L")</f>
        <v>L</v>
      </c>
      <c r="E200" s="13" t="str">
        <f>IF(COUNTIF(TabEmbargos[[#This Row],[Embargo Projeto]:[Embargo Meio Ambiente]],"S"),"S","N")</f>
        <v>N</v>
      </c>
      <c r="F200" s="13" t="str">
        <f>IF(AND(TabEmbargos[[#This Row],[Embargo Projeto]]="S",TabEmbargos[[#This Row],[Embargo Fundiário]]="S"),"S","N")</f>
        <v>N</v>
      </c>
      <c r="G200" s="13" t="s">
        <v>21</v>
      </c>
      <c r="H200" s="13" t="s">
        <v>21</v>
      </c>
      <c r="I200" s="13" t="s">
        <v>21</v>
      </c>
      <c r="J200" s="13" t="s">
        <v>21</v>
      </c>
      <c r="K200" s="13" t="s">
        <v>21</v>
      </c>
      <c r="L200" s="13" t="s">
        <v>21</v>
      </c>
      <c r="M200" s="13" t="s">
        <v>21</v>
      </c>
      <c r="N200" s="13" t="s">
        <v>21</v>
      </c>
      <c r="O200" s="13" t="s">
        <v>21</v>
      </c>
    </row>
    <row r="201" spans="1:15" x14ac:dyDescent="0.3">
      <c r="A201" s="15">
        <v>198</v>
      </c>
      <c r="B201" s="12" t="s">
        <v>230</v>
      </c>
      <c r="C201" s="12" t="s">
        <v>30</v>
      </c>
      <c r="D201" s="13" t="str">
        <f>IF(OR(TabEmbargos[[#This Row],[Impedida sem Imissão na Posse]]="S",TabEmbargos[[#This Row],[Impedida com Imissão na Posse]]="S"),"E","L")</f>
        <v>L</v>
      </c>
      <c r="E201" s="13" t="str">
        <f>IF(COUNTIF(TabEmbargos[[#This Row],[Embargo Projeto]:[Embargo Meio Ambiente]],"S"),"S","N")</f>
        <v>N</v>
      </c>
      <c r="F201" s="13" t="str">
        <f>IF(AND(TabEmbargos[[#This Row],[Embargo Projeto]]="S",TabEmbargos[[#This Row],[Embargo Fundiário]]="S"),"S","N")</f>
        <v>N</v>
      </c>
      <c r="G201" s="13" t="s">
        <v>24</v>
      </c>
      <c r="H201" s="13" t="s">
        <v>21</v>
      </c>
      <c r="I201" s="13" t="s">
        <v>21</v>
      </c>
      <c r="J201" s="13" t="s">
        <v>21</v>
      </c>
      <c r="K201" s="13" t="s">
        <v>21</v>
      </c>
      <c r="L201" s="13" t="s">
        <v>21</v>
      </c>
      <c r="M201" s="13" t="s">
        <v>21</v>
      </c>
      <c r="N201" s="13" t="s">
        <v>21</v>
      </c>
      <c r="O201" s="13" t="s">
        <v>21</v>
      </c>
    </row>
    <row r="202" spans="1:15" x14ac:dyDescent="0.3">
      <c r="A202" s="15">
        <v>199</v>
      </c>
      <c r="B202" s="12" t="s">
        <v>231</v>
      </c>
      <c r="C202" s="12" t="s">
        <v>72</v>
      </c>
      <c r="D202" s="13" t="str">
        <f>IF(OR(TabEmbargos[[#This Row],[Impedida sem Imissão na Posse]]="S",TabEmbargos[[#This Row],[Impedida com Imissão na Posse]]="S"),"E","L")</f>
        <v>L</v>
      </c>
      <c r="E202" s="13" t="str">
        <f>IF(COUNTIF(TabEmbargos[[#This Row],[Embargo Projeto]:[Embargo Meio Ambiente]],"S"),"S","N")</f>
        <v>N</v>
      </c>
      <c r="F202" s="13" t="str">
        <f>IF(AND(TabEmbargos[[#This Row],[Embargo Projeto]]="S",TabEmbargos[[#This Row],[Embargo Fundiário]]="S"),"S","N")</f>
        <v>N</v>
      </c>
      <c r="G202" s="13" t="s">
        <v>21</v>
      </c>
      <c r="H202" s="13" t="s">
        <v>21</v>
      </c>
      <c r="I202" s="13" t="s">
        <v>21</v>
      </c>
      <c r="J202" s="13" t="s">
        <v>21</v>
      </c>
      <c r="K202" s="13" t="s">
        <v>21</v>
      </c>
      <c r="L202" s="13" t="s">
        <v>21</v>
      </c>
      <c r="M202" s="13" t="s">
        <v>21</v>
      </c>
      <c r="N202" s="13" t="s">
        <v>21</v>
      </c>
      <c r="O202" s="13" t="s">
        <v>21</v>
      </c>
    </row>
    <row r="203" spans="1:15" x14ac:dyDescent="0.3">
      <c r="A203" s="15">
        <v>200</v>
      </c>
      <c r="B203" s="12" t="s">
        <v>232</v>
      </c>
      <c r="C203" s="12" t="s">
        <v>32</v>
      </c>
      <c r="D203" s="13" t="str">
        <f>IF(OR(TabEmbargos[[#This Row],[Impedida sem Imissão na Posse]]="S",TabEmbargos[[#This Row],[Impedida com Imissão na Posse]]="S"),"E","L")</f>
        <v>E</v>
      </c>
      <c r="E203" s="13" t="str">
        <f>IF(COUNTIF(TabEmbargos[[#This Row],[Embargo Projeto]:[Embargo Meio Ambiente]],"S"),"S","N")</f>
        <v>S</v>
      </c>
      <c r="F203" s="13" t="str">
        <f>IF(AND(TabEmbargos[[#This Row],[Embargo Projeto]]="S",TabEmbargos[[#This Row],[Embargo Fundiário]]="S"),"S","N")</f>
        <v>N</v>
      </c>
      <c r="G203" s="13" t="s">
        <v>21</v>
      </c>
      <c r="H203" s="13" t="s">
        <v>21</v>
      </c>
      <c r="I203" s="13" t="s">
        <v>21</v>
      </c>
      <c r="J203" s="13" t="s">
        <v>24</v>
      </c>
      <c r="K203" s="13" t="s">
        <v>21</v>
      </c>
      <c r="L203" s="13" t="s">
        <v>21</v>
      </c>
      <c r="M203" s="13" t="s">
        <v>21</v>
      </c>
      <c r="N203" s="13" t="s">
        <v>21</v>
      </c>
      <c r="O203" s="13" t="s">
        <v>21</v>
      </c>
    </row>
    <row r="204" spans="1:15" x14ac:dyDescent="0.3">
      <c r="A204" s="15">
        <v>201</v>
      </c>
      <c r="B204" s="12" t="s">
        <v>233</v>
      </c>
      <c r="C204" s="12" t="s">
        <v>42</v>
      </c>
      <c r="D204" s="13" t="str">
        <f>IF(OR(TabEmbargos[[#This Row],[Impedida sem Imissão na Posse]]="S",TabEmbargos[[#This Row],[Impedida com Imissão na Posse]]="S"),"E","L")</f>
        <v>E</v>
      </c>
      <c r="E204" s="13" t="str">
        <f>IF(COUNTIF(TabEmbargos[[#This Row],[Embargo Projeto]:[Embargo Meio Ambiente]],"S"),"S","N")</f>
        <v>S</v>
      </c>
      <c r="F204" s="13" t="str">
        <f>IF(AND(TabEmbargos[[#This Row],[Embargo Projeto]]="S",TabEmbargos[[#This Row],[Embargo Fundiário]]="S"),"S","N")</f>
        <v>N</v>
      </c>
      <c r="G204" s="13" t="s">
        <v>24</v>
      </c>
      <c r="H204" s="13" t="s">
        <v>21</v>
      </c>
      <c r="I204" s="13" t="s">
        <v>21</v>
      </c>
      <c r="J204" s="13" t="s">
        <v>24</v>
      </c>
      <c r="K204" s="13" t="s">
        <v>21</v>
      </c>
      <c r="L204" s="13" t="s">
        <v>21</v>
      </c>
      <c r="M204" s="13" t="s">
        <v>21</v>
      </c>
      <c r="N204" s="13" t="s">
        <v>21</v>
      </c>
      <c r="O204" s="13" t="s">
        <v>21</v>
      </c>
    </row>
    <row r="205" spans="1:15" x14ac:dyDescent="0.3">
      <c r="A205" s="15">
        <v>202</v>
      </c>
      <c r="B205" s="12" t="s">
        <v>234</v>
      </c>
      <c r="C205" s="12" t="s">
        <v>32</v>
      </c>
      <c r="D205" s="13" t="str">
        <f>IF(OR(TabEmbargos[[#This Row],[Impedida sem Imissão na Posse]]="S",TabEmbargos[[#This Row],[Impedida com Imissão na Posse]]="S"),"E","L")</f>
        <v>E</v>
      </c>
      <c r="E205" s="13" t="str">
        <f>IF(COUNTIF(TabEmbargos[[#This Row],[Embargo Projeto]:[Embargo Meio Ambiente]],"S"),"S","N")</f>
        <v>S</v>
      </c>
      <c r="F205" s="13" t="str">
        <f>IF(AND(TabEmbargos[[#This Row],[Embargo Projeto]]="S",TabEmbargos[[#This Row],[Embargo Fundiário]]="S"),"S","N")</f>
        <v>N</v>
      </c>
      <c r="G205" s="13" t="s">
        <v>24</v>
      </c>
      <c r="H205" s="13" t="s">
        <v>21</v>
      </c>
      <c r="I205" s="13" t="s">
        <v>21</v>
      </c>
      <c r="J205" s="13" t="s">
        <v>24</v>
      </c>
      <c r="K205" s="13" t="s">
        <v>21</v>
      </c>
      <c r="L205" s="13" t="s">
        <v>21</v>
      </c>
      <c r="M205" s="13" t="s">
        <v>21</v>
      </c>
      <c r="N205" s="13" t="s">
        <v>21</v>
      </c>
      <c r="O205" s="13" t="s">
        <v>21</v>
      </c>
    </row>
    <row r="206" spans="1:15" x14ac:dyDescent="0.3">
      <c r="A206" s="15">
        <v>203</v>
      </c>
      <c r="B206" s="12" t="s">
        <v>235</v>
      </c>
      <c r="C206" s="12" t="s">
        <v>37</v>
      </c>
      <c r="D206" s="13" t="str">
        <f>IF(OR(TabEmbargos[[#This Row],[Impedida sem Imissão na Posse]]="S",TabEmbargos[[#This Row],[Impedida com Imissão na Posse]]="S"),"E","L")</f>
        <v>E</v>
      </c>
      <c r="E206" s="13" t="str">
        <f>IF(COUNTIF(TabEmbargos[[#This Row],[Embargo Projeto]:[Embargo Meio Ambiente]],"S"),"S","N")</f>
        <v>S</v>
      </c>
      <c r="F206" s="13" t="str">
        <f>IF(AND(TabEmbargos[[#This Row],[Embargo Projeto]]="S",TabEmbargos[[#This Row],[Embargo Fundiário]]="S"),"S","N")</f>
        <v>N</v>
      </c>
      <c r="G206" s="13" t="s">
        <v>21</v>
      </c>
      <c r="H206" s="13" t="s">
        <v>21</v>
      </c>
      <c r="I206" s="13" t="s">
        <v>21</v>
      </c>
      <c r="J206" s="13" t="s">
        <v>24</v>
      </c>
      <c r="K206" s="13" t="s">
        <v>21</v>
      </c>
      <c r="L206" s="13" t="s">
        <v>21</v>
      </c>
      <c r="M206" s="13" t="s">
        <v>21</v>
      </c>
      <c r="N206" s="13" t="s">
        <v>21</v>
      </c>
      <c r="O206" s="13" t="s">
        <v>21</v>
      </c>
    </row>
    <row r="207" spans="1:15" x14ac:dyDescent="0.3">
      <c r="A207" s="15">
        <v>204</v>
      </c>
      <c r="B207" s="12" t="s">
        <v>236</v>
      </c>
      <c r="C207" s="12" t="s">
        <v>37</v>
      </c>
      <c r="D207" s="13" t="str">
        <f>IF(OR(TabEmbargos[[#This Row],[Impedida sem Imissão na Posse]]="S",TabEmbargos[[#This Row],[Impedida com Imissão na Posse]]="S"),"E","L")</f>
        <v>E</v>
      </c>
      <c r="E207" s="13" t="str">
        <f>IF(COUNTIF(TabEmbargos[[#This Row],[Embargo Projeto]:[Embargo Meio Ambiente]],"S"),"S","N")</f>
        <v>S</v>
      </c>
      <c r="F207" s="13" t="str">
        <f>IF(AND(TabEmbargos[[#This Row],[Embargo Projeto]]="S",TabEmbargos[[#This Row],[Embargo Fundiário]]="S"),"S","N")</f>
        <v>N</v>
      </c>
      <c r="G207" s="13" t="s">
        <v>21</v>
      </c>
      <c r="H207" s="13" t="s">
        <v>24</v>
      </c>
      <c r="I207" s="13" t="s">
        <v>21</v>
      </c>
      <c r="J207" s="13" t="s">
        <v>21</v>
      </c>
      <c r="K207" s="13" t="s">
        <v>21</v>
      </c>
      <c r="L207" s="13" t="s">
        <v>21</v>
      </c>
      <c r="M207" s="13" t="s">
        <v>21</v>
      </c>
      <c r="N207" s="13" t="s">
        <v>21</v>
      </c>
      <c r="O207" s="13" t="s">
        <v>21</v>
      </c>
    </row>
    <row r="208" spans="1:15" x14ac:dyDescent="0.3">
      <c r="A208" s="15">
        <v>205</v>
      </c>
      <c r="B208" s="12" t="s">
        <v>237</v>
      </c>
      <c r="C208" s="12" t="s">
        <v>32</v>
      </c>
      <c r="D208" s="13" t="str">
        <f>IF(OR(TabEmbargos[[#This Row],[Impedida sem Imissão na Posse]]="S",TabEmbargos[[#This Row],[Impedida com Imissão na Posse]]="S"),"E","L")</f>
        <v>E</v>
      </c>
      <c r="E208" s="13" t="str">
        <f>IF(COUNTIF(TabEmbargos[[#This Row],[Embargo Projeto]:[Embargo Meio Ambiente]],"S"),"S","N")</f>
        <v>S</v>
      </c>
      <c r="F208" s="13" t="str">
        <f>IF(AND(TabEmbargos[[#This Row],[Embargo Projeto]]="S",TabEmbargos[[#This Row],[Embargo Fundiário]]="S"),"S","N")</f>
        <v>N</v>
      </c>
      <c r="G208" s="13" t="s">
        <v>24</v>
      </c>
      <c r="H208" s="13" t="s">
        <v>21</v>
      </c>
      <c r="I208" s="13" t="s">
        <v>24</v>
      </c>
      <c r="J208" s="13" t="s">
        <v>21</v>
      </c>
      <c r="K208" s="13" t="s">
        <v>21</v>
      </c>
      <c r="L208" s="13" t="s">
        <v>21</v>
      </c>
      <c r="M208" s="13" t="s">
        <v>21</v>
      </c>
      <c r="N208" s="13" t="s">
        <v>21</v>
      </c>
      <c r="O208" s="13" t="s">
        <v>21</v>
      </c>
    </row>
    <row r="209" spans="1:15" x14ac:dyDescent="0.3">
      <c r="A209" s="15">
        <v>206</v>
      </c>
      <c r="B209" s="12" t="s">
        <v>238</v>
      </c>
      <c r="C209" s="12" t="s">
        <v>37</v>
      </c>
      <c r="D209" s="13" t="str">
        <f>IF(OR(TabEmbargos[[#This Row],[Impedida sem Imissão na Posse]]="S",TabEmbargos[[#This Row],[Impedida com Imissão na Posse]]="S"),"E","L")</f>
        <v>E</v>
      </c>
      <c r="E209" s="13" t="str">
        <f>IF(COUNTIF(TabEmbargos[[#This Row],[Embargo Projeto]:[Embargo Meio Ambiente]],"S"),"S","N")</f>
        <v>S</v>
      </c>
      <c r="F209" s="13" t="str">
        <f>IF(AND(TabEmbargos[[#This Row],[Embargo Projeto]]="S",TabEmbargos[[#This Row],[Embargo Fundiário]]="S"),"S","N")</f>
        <v>N</v>
      </c>
      <c r="G209" s="13" t="s">
        <v>21</v>
      </c>
      <c r="H209" s="13" t="s">
        <v>21</v>
      </c>
      <c r="I209" s="13" t="s">
        <v>21</v>
      </c>
      <c r="J209" s="13" t="s">
        <v>24</v>
      </c>
      <c r="K209" s="13" t="s">
        <v>21</v>
      </c>
      <c r="L209" s="13" t="s">
        <v>21</v>
      </c>
      <c r="M209" s="13" t="s">
        <v>21</v>
      </c>
      <c r="N209" s="13" t="s">
        <v>21</v>
      </c>
      <c r="O209" s="13" t="s">
        <v>21</v>
      </c>
    </row>
    <row r="210" spans="1:15" x14ac:dyDescent="0.3">
      <c r="A210" s="15">
        <v>207</v>
      </c>
      <c r="B210" s="12" t="s">
        <v>239</v>
      </c>
      <c r="C210" s="12" t="s">
        <v>42</v>
      </c>
      <c r="D210" s="13" t="str">
        <f>IF(OR(TabEmbargos[[#This Row],[Impedida sem Imissão na Posse]]="S",TabEmbargos[[#This Row],[Impedida com Imissão na Posse]]="S"),"E","L")</f>
        <v>L</v>
      </c>
      <c r="E210" s="13" t="str">
        <f>IF(COUNTIF(TabEmbargos[[#This Row],[Embargo Projeto]:[Embargo Meio Ambiente]],"S"),"S","N")</f>
        <v>N</v>
      </c>
      <c r="F210" s="13" t="str">
        <f>IF(AND(TabEmbargos[[#This Row],[Embargo Projeto]]="S",TabEmbargos[[#This Row],[Embargo Fundiário]]="S"),"S","N")</f>
        <v>N</v>
      </c>
      <c r="G210" s="13" t="s">
        <v>21</v>
      </c>
      <c r="H210" s="13" t="s">
        <v>21</v>
      </c>
      <c r="I210" s="13" t="s">
        <v>21</v>
      </c>
      <c r="J210" s="13" t="s">
        <v>21</v>
      </c>
      <c r="K210" s="13" t="s">
        <v>21</v>
      </c>
      <c r="L210" s="13" t="s">
        <v>21</v>
      </c>
      <c r="M210" s="13" t="s">
        <v>21</v>
      </c>
      <c r="N210" s="13" t="s">
        <v>21</v>
      </c>
      <c r="O210" s="13" t="s">
        <v>21</v>
      </c>
    </row>
    <row r="211" spans="1:15" x14ac:dyDescent="0.3">
      <c r="A211" s="15">
        <v>208</v>
      </c>
      <c r="B211" s="12" t="s">
        <v>240</v>
      </c>
      <c r="C211" s="12" t="s">
        <v>32</v>
      </c>
      <c r="D211" s="13" t="str">
        <f>IF(OR(TabEmbargos[[#This Row],[Impedida sem Imissão na Posse]]="S",TabEmbargos[[#This Row],[Impedida com Imissão na Posse]]="S"),"E","L")</f>
        <v>L</v>
      </c>
      <c r="E211" s="13" t="str">
        <f>IF(COUNTIF(TabEmbargos[[#This Row],[Embargo Projeto]:[Embargo Meio Ambiente]],"S"),"S","N")</f>
        <v>N</v>
      </c>
      <c r="F211" s="13" t="str">
        <f>IF(AND(TabEmbargos[[#This Row],[Embargo Projeto]]="S",TabEmbargos[[#This Row],[Embargo Fundiário]]="S"),"S","N")</f>
        <v>N</v>
      </c>
      <c r="G211" s="13" t="s">
        <v>24</v>
      </c>
      <c r="H211" s="13" t="s">
        <v>21</v>
      </c>
      <c r="I211" s="13" t="s">
        <v>21</v>
      </c>
      <c r="J211" s="13" t="s">
        <v>21</v>
      </c>
      <c r="K211" s="13" t="s">
        <v>21</v>
      </c>
      <c r="L211" s="13" t="s">
        <v>21</v>
      </c>
      <c r="M211" s="13" t="s">
        <v>21</v>
      </c>
      <c r="N211" s="13" t="s">
        <v>21</v>
      </c>
      <c r="O211" s="13" t="s">
        <v>21</v>
      </c>
    </row>
    <row r="212" spans="1:15" x14ac:dyDescent="0.3">
      <c r="A212" s="15">
        <v>209</v>
      </c>
      <c r="B212" s="12" t="s">
        <v>241</v>
      </c>
      <c r="C212" s="12" t="s">
        <v>26</v>
      </c>
      <c r="D212" s="13" t="str">
        <f>IF(OR(TabEmbargos[[#This Row],[Impedida sem Imissão na Posse]]="S",TabEmbargos[[#This Row],[Impedida com Imissão na Posse]]="S"),"E","L")</f>
        <v>L</v>
      </c>
      <c r="E212" s="13" t="str">
        <f>IF(COUNTIF(TabEmbargos[[#This Row],[Embargo Projeto]:[Embargo Meio Ambiente]],"S"),"S","N")</f>
        <v>N</v>
      </c>
      <c r="F212" s="13" t="str">
        <f>IF(AND(TabEmbargos[[#This Row],[Embargo Projeto]]="S",TabEmbargos[[#This Row],[Embargo Fundiário]]="S"),"S","N")</f>
        <v>N</v>
      </c>
      <c r="G212" s="13" t="s">
        <v>21</v>
      </c>
      <c r="H212" s="13" t="s">
        <v>21</v>
      </c>
      <c r="I212" s="13" t="s">
        <v>21</v>
      </c>
      <c r="J212" s="13" t="s">
        <v>21</v>
      </c>
      <c r="K212" s="13" t="s">
        <v>21</v>
      </c>
      <c r="L212" s="13" t="s">
        <v>21</v>
      </c>
      <c r="M212" s="13" t="s">
        <v>21</v>
      </c>
      <c r="N212" s="13" t="s">
        <v>21</v>
      </c>
      <c r="O212" s="13" t="s">
        <v>21</v>
      </c>
    </row>
    <row r="213" spans="1:15" x14ac:dyDescent="0.3">
      <c r="A213" s="15">
        <v>210</v>
      </c>
      <c r="B213" s="12" t="s">
        <v>242</v>
      </c>
      <c r="C213" s="12" t="s">
        <v>72</v>
      </c>
      <c r="D213" s="13" t="str">
        <f>IF(OR(TabEmbargos[[#This Row],[Impedida sem Imissão na Posse]]="S",TabEmbargos[[#This Row],[Impedida com Imissão na Posse]]="S"),"E","L")</f>
        <v>L</v>
      </c>
      <c r="E213" s="13" t="str">
        <f>IF(COUNTIF(TabEmbargos[[#This Row],[Embargo Projeto]:[Embargo Meio Ambiente]],"S"),"S","N")</f>
        <v>N</v>
      </c>
      <c r="F213" s="13" t="str">
        <f>IF(AND(TabEmbargos[[#This Row],[Embargo Projeto]]="S",TabEmbargos[[#This Row],[Embargo Fundiário]]="S"),"S","N")</f>
        <v>N</v>
      </c>
      <c r="G213" s="13" t="s">
        <v>21</v>
      </c>
      <c r="H213" s="13" t="s">
        <v>21</v>
      </c>
      <c r="I213" s="13" t="s">
        <v>21</v>
      </c>
      <c r="J213" s="13" t="s">
        <v>21</v>
      </c>
      <c r="K213" s="13" t="s">
        <v>21</v>
      </c>
      <c r="L213" s="13" t="s">
        <v>21</v>
      </c>
      <c r="M213" s="13" t="s">
        <v>21</v>
      </c>
      <c r="N213" s="13" t="s">
        <v>21</v>
      </c>
      <c r="O213" s="13" t="s">
        <v>21</v>
      </c>
    </row>
    <row r="214" spans="1:15" x14ac:dyDescent="0.3">
      <c r="A214" s="15">
        <v>211</v>
      </c>
      <c r="B214" s="12" t="s">
        <v>243</v>
      </c>
      <c r="C214" s="12" t="s">
        <v>32</v>
      </c>
      <c r="D214" s="13" t="str">
        <f>IF(OR(TabEmbargos[[#This Row],[Impedida sem Imissão na Posse]]="S",TabEmbargos[[#This Row],[Impedida com Imissão na Posse]]="S"),"E","L")</f>
        <v>L</v>
      </c>
      <c r="E214" s="13" t="str">
        <f>IF(COUNTIF(TabEmbargos[[#This Row],[Embargo Projeto]:[Embargo Meio Ambiente]],"S"),"S","N")</f>
        <v>N</v>
      </c>
      <c r="F214" s="13" t="str">
        <f>IF(AND(TabEmbargos[[#This Row],[Embargo Projeto]]="S",TabEmbargos[[#This Row],[Embargo Fundiário]]="S"),"S","N")</f>
        <v>N</v>
      </c>
      <c r="G214" s="13" t="s">
        <v>21</v>
      </c>
      <c r="H214" s="13" t="s">
        <v>21</v>
      </c>
      <c r="I214" s="13" t="s">
        <v>21</v>
      </c>
      <c r="J214" s="13" t="s">
        <v>21</v>
      </c>
      <c r="K214" s="13" t="s">
        <v>21</v>
      </c>
      <c r="L214" s="13" t="s">
        <v>21</v>
      </c>
      <c r="M214" s="13" t="s">
        <v>21</v>
      </c>
      <c r="N214" s="13" t="s">
        <v>21</v>
      </c>
      <c r="O214" s="13" t="s">
        <v>21</v>
      </c>
    </row>
    <row r="215" spans="1:15" x14ac:dyDescent="0.3">
      <c r="A215" s="15">
        <v>212</v>
      </c>
      <c r="B215" s="12" t="s">
        <v>244</v>
      </c>
      <c r="C215" s="12" t="s">
        <v>72</v>
      </c>
      <c r="D215" s="13" t="str">
        <f>IF(OR(TabEmbargos[[#This Row],[Impedida sem Imissão na Posse]]="S",TabEmbargos[[#This Row],[Impedida com Imissão na Posse]]="S"),"E","L")</f>
        <v>L</v>
      </c>
      <c r="E215" s="13" t="str">
        <f>IF(COUNTIF(TabEmbargos[[#This Row],[Embargo Projeto]:[Embargo Meio Ambiente]],"S"),"S","N")</f>
        <v>N</v>
      </c>
      <c r="F215" s="13" t="str">
        <f>IF(AND(TabEmbargos[[#This Row],[Embargo Projeto]]="S",TabEmbargos[[#This Row],[Embargo Fundiário]]="S"),"S","N")</f>
        <v>N</v>
      </c>
      <c r="G215" s="13" t="s">
        <v>21</v>
      </c>
      <c r="H215" s="13" t="s">
        <v>21</v>
      </c>
      <c r="I215" s="13" t="s">
        <v>21</v>
      </c>
      <c r="J215" s="13" t="s">
        <v>21</v>
      </c>
      <c r="K215" s="13" t="s">
        <v>21</v>
      </c>
      <c r="L215" s="13" t="s">
        <v>21</v>
      </c>
      <c r="M215" s="13" t="s">
        <v>21</v>
      </c>
      <c r="N215" s="13" t="s">
        <v>21</v>
      </c>
      <c r="O215" s="13" t="s">
        <v>21</v>
      </c>
    </row>
    <row r="216" spans="1:15" x14ac:dyDescent="0.3">
      <c r="A216" s="15">
        <v>213</v>
      </c>
      <c r="B216" s="12" t="s">
        <v>245</v>
      </c>
      <c r="C216" s="12" t="s">
        <v>32</v>
      </c>
      <c r="D216" s="13" t="str">
        <f>IF(OR(TabEmbargos[[#This Row],[Impedida sem Imissão na Posse]]="S",TabEmbargos[[#This Row],[Impedida com Imissão na Posse]]="S"),"E","L")</f>
        <v>E</v>
      </c>
      <c r="E216" s="13" t="str">
        <f>IF(COUNTIF(TabEmbargos[[#This Row],[Embargo Projeto]:[Embargo Meio Ambiente]],"S"),"S","N")</f>
        <v>S</v>
      </c>
      <c r="F216" s="13" t="str">
        <f>IF(AND(TabEmbargos[[#This Row],[Embargo Projeto]]="S",TabEmbargos[[#This Row],[Embargo Fundiário]]="S"),"S","N")</f>
        <v>N</v>
      </c>
      <c r="G216" s="13" t="s">
        <v>21</v>
      </c>
      <c r="H216" s="13" t="s">
        <v>21</v>
      </c>
      <c r="I216" s="13" t="s">
        <v>21</v>
      </c>
      <c r="J216" s="13" t="s">
        <v>24</v>
      </c>
      <c r="K216" s="13" t="s">
        <v>21</v>
      </c>
      <c r="L216" s="13" t="s">
        <v>21</v>
      </c>
      <c r="M216" s="13" t="s">
        <v>21</v>
      </c>
      <c r="N216" s="13" t="s">
        <v>21</v>
      </c>
      <c r="O216" s="13" t="s">
        <v>21</v>
      </c>
    </row>
    <row r="217" spans="1:15" x14ac:dyDescent="0.3">
      <c r="A217" s="15">
        <v>214</v>
      </c>
      <c r="B217" s="12" t="s">
        <v>246</v>
      </c>
      <c r="C217" s="12" t="s">
        <v>32</v>
      </c>
      <c r="D217" s="13" t="str">
        <f>IF(OR(TabEmbargos[[#This Row],[Impedida sem Imissão na Posse]]="S",TabEmbargos[[#This Row],[Impedida com Imissão na Posse]]="S"),"E","L")</f>
        <v>E</v>
      </c>
      <c r="E217" s="13" t="str">
        <f>IF(COUNTIF(TabEmbargos[[#This Row],[Embargo Projeto]:[Embargo Meio Ambiente]],"S"),"S","N")</f>
        <v>S</v>
      </c>
      <c r="F217" s="13" t="str">
        <f>IF(AND(TabEmbargos[[#This Row],[Embargo Projeto]]="S",TabEmbargos[[#This Row],[Embargo Fundiário]]="S"),"S","N")</f>
        <v>N</v>
      </c>
      <c r="G217" s="13" t="s">
        <v>21</v>
      </c>
      <c r="H217" s="13" t="s">
        <v>21</v>
      </c>
      <c r="I217" s="13" t="s">
        <v>21</v>
      </c>
      <c r="J217" s="13" t="s">
        <v>24</v>
      </c>
      <c r="K217" s="13" t="s">
        <v>21</v>
      </c>
      <c r="L217" s="13" t="s">
        <v>21</v>
      </c>
      <c r="M217" s="13" t="s">
        <v>21</v>
      </c>
      <c r="N217" s="13" t="s">
        <v>21</v>
      </c>
      <c r="O217" s="13" t="s">
        <v>21</v>
      </c>
    </row>
    <row r="218" spans="1:15" x14ac:dyDescent="0.3">
      <c r="A218" s="15">
        <v>215</v>
      </c>
      <c r="B218" s="12" t="s">
        <v>247</v>
      </c>
      <c r="C218" s="12" t="s">
        <v>32</v>
      </c>
      <c r="D218" s="13" t="str">
        <f>IF(OR(TabEmbargos[[#This Row],[Impedida sem Imissão na Posse]]="S",TabEmbargos[[#This Row],[Impedida com Imissão na Posse]]="S"),"E","L")</f>
        <v>E</v>
      </c>
      <c r="E218" s="13" t="str">
        <f>IF(COUNTIF(TabEmbargos[[#This Row],[Embargo Projeto]:[Embargo Meio Ambiente]],"S"),"S","N")</f>
        <v>S</v>
      </c>
      <c r="F218" s="13" t="str">
        <f>IF(AND(TabEmbargos[[#This Row],[Embargo Projeto]]="S",TabEmbargos[[#This Row],[Embargo Fundiário]]="S"),"S","N")</f>
        <v>N</v>
      </c>
      <c r="G218" s="13" t="s">
        <v>21</v>
      </c>
      <c r="H218" s="13" t="s">
        <v>21</v>
      </c>
      <c r="I218" s="13" t="s">
        <v>21</v>
      </c>
      <c r="J218" s="13" t="s">
        <v>24</v>
      </c>
      <c r="K218" s="13" t="s">
        <v>21</v>
      </c>
      <c r="L218" s="13" t="s">
        <v>21</v>
      </c>
      <c r="M218" s="13" t="s">
        <v>21</v>
      </c>
      <c r="N218" s="13" t="s">
        <v>21</v>
      </c>
      <c r="O218" s="13" t="s">
        <v>21</v>
      </c>
    </row>
    <row r="219" spans="1:15" x14ac:dyDescent="0.3">
      <c r="A219" s="15">
        <v>216</v>
      </c>
      <c r="B219" s="12" t="s">
        <v>248</v>
      </c>
      <c r="C219" s="12" t="s">
        <v>30</v>
      </c>
      <c r="D219" s="13" t="str">
        <f>IF(OR(TabEmbargos[[#This Row],[Impedida sem Imissão na Posse]]="S",TabEmbargos[[#This Row],[Impedida com Imissão na Posse]]="S"),"E","L")</f>
        <v>E</v>
      </c>
      <c r="E219" s="13" t="str">
        <f>IF(COUNTIF(TabEmbargos[[#This Row],[Embargo Projeto]:[Embargo Meio Ambiente]],"S"),"S","N")</f>
        <v>S</v>
      </c>
      <c r="F219" s="13" t="str">
        <f>IF(AND(TabEmbargos[[#This Row],[Embargo Projeto]]="S",TabEmbargos[[#This Row],[Embargo Fundiário]]="S"),"S","N")</f>
        <v>N</v>
      </c>
      <c r="G219" s="13" t="s">
        <v>21</v>
      </c>
      <c r="H219" s="13" t="s">
        <v>21</v>
      </c>
      <c r="I219" s="13" t="s">
        <v>21</v>
      </c>
      <c r="J219" s="13" t="s">
        <v>24</v>
      </c>
      <c r="K219" s="13" t="s">
        <v>21</v>
      </c>
      <c r="L219" s="13" t="s">
        <v>21</v>
      </c>
      <c r="M219" s="13" t="s">
        <v>21</v>
      </c>
      <c r="N219" s="13" t="s">
        <v>21</v>
      </c>
      <c r="O219" s="13" t="s">
        <v>21</v>
      </c>
    </row>
    <row r="220" spans="1:15" x14ac:dyDescent="0.3">
      <c r="A220" s="15">
        <v>217</v>
      </c>
      <c r="B220" s="12" t="s">
        <v>249</v>
      </c>
      <c r="C220" s="12" t="s">
        <v>32</v>
      </c>
      <c r="D220" s="13" t="str">
        <f>IF(OR(TabEmbargos[[#This Row],[Impedida sem Imissão na Posse]]="S",TabEmbargos[[#This Row],[Impedida com Imissão na Posse]]="S"),"E","L")</f>
        <v>L</v>
      </c>
      <c r="E220" s="13" t="str">
        <f>IF(COUNTIF(TabEmbargos[[#This Row],[Embargo Projeto]:[Embargo Meio Ambiente]],"S"),"S","N")</f>
        <v>N</v>
      </c>
      <c r="F220" s="13" t="str">
        <f>IF(AND(TabEmbargos[[#This Row],[Embargo Projeto]]="S",TabEmbargos[[#This Row],[Embargo Fundiário]]="S"),"S","N")</f>
        <v>N</v>
      </c>
      <c r="G220" s="13" t="s">
        <v>21</v>
      </c>
      <c r="H220" s="13" t="s">
        <v>21</v>
      </c>
      <c r="I220" s="13" t="s">
        <v>21</v>
      </c>
      <c r="J220" s="13" t="s">
        <v>21</v>
      </c>
      <c r="K220" s="13" t="s">
        <v>21</v>
      </c>
      <c r="L220" s="13" t="s">
        <v>21</v>
      </c>
      <c r="M220" s="13" t="s">
        <v>21</v>
      </c>
      <c r="N220" s="13" t="s">
        <v>21</v>
      </c>
      <c r="O220" s="13" t="s">
        <v>21</v>
      </c>
    </row>
    <row r="221" spans="1:15" x14ac:dyDescent="0.3">
      <c r="A221" s="15">
        <v>218</v>
      </c>
      <c r="B221" s="12" t="s">
        <v>250</v>
      </c>
      <c r="C221" s="12" t="s">
        <v>32</v>
      </c>
      <c r="D221" s="13" t="str">
        <f>IF(OR(TabEmbargos[[#This Row],[Impedida sem Imissão na Posse]]="S",TabEmbargos[[#This Row],[Impedida com Imissão na Posse]]="S"),"E","L")</f>
        <v>L</v>
      </c>
      <c r="E221" s="13" t="str">
        <f>IF(COUNTIF(TabEmbargos[[#This Row],[Embargo Projeto]:[Embargo Meio Ambiente]],"S"),"S","N")</f>
        <v>N</v>
      </c>
      <c r="F221" s="13" t="str">
        <f>IF(AND(TabEmbargos[[#This Row],[Embargo Projeto]]="S",TabEmbargos[[#This Row],[Embargo Fundiário]]="S"),"S","N")</f>
        <v>N</v>
      </c>
      <c r="G221" s="13" t="s">
        <v>24</v>
      </c>
      <c r="H221" s="13" t="s">
        <v>21</v>
      </c>
      <c r="I221" s="13" t="s">
        <v>21</v>
      </c>
      <c r="J221" s="13" t="s">
        <v>21</v>
      </c>
      <c r="K221" s="13" t="s">
        <v>21</v>
      </c>
      <c r="L221" s="13" t="s">
        <v>21</v>
      </c>
      <c r="M221" s="13" t="s">
        <v>21</v>
      </c>
      <c r="N221" s="13" t="s">
        <v>21</v>
      </c>
      <c r="O221" s="13" t="s">
        <v>21</v>
      </c>
    </row>
    <row r="222" spans="1:15" x14ac:dyDescent="0.3">
      <c r="A222" s="15">
        <v>219</v>
      </c>
      <c r="B222" s="12" t="s">
        <v>251</v>
      </c>
      <c r="C222" s="12" t="s">
        <v>32</v>
      </c>
      <c r="D222" s="13" t="str">
        <f>IF(OR(TabEmbargos[[#This Row],[Impedida sem Imissão na Posse]]="S",TabEmbargos[[#This Row],[Impedida com Imissão na Posse]]="S"),"E","L")</f>
        <v>L</v>
      </c>
      <c r="E222" s="13" t="str">
        <f>IF(COUNTIF(TabEmbargos[[#This Row],[Embargo Projeto]:[Embargo Meio Ambiente]],"S"),"S","N")</f>
        <v>N</v>
      </c>
      <c r="F222" s="13" t="str">
        <f>IF(AND(TabEmbargos[[#This Row],[Embargo Projeto]]="S",TabEmbargos[[#This Row],[Embargo Fundiário]]="S"),"S","N")</f>
        <v>N</v>
      </c>
      <c r="G222" s="13" t="s">
        <v>21</v>
      </c>
      <c r="H222" s="13" t="s">
        <v>21</v>
      </c>
      <c r="I222" s="13" t="s">
        <v>21</v>
      </c>
      <c r="J222" s="13" t="s">
        <v>21</v>
      </c>
      <c r="K222" s="13" t="s">
        <v>21</v>
      </c>
      <c r="L222" s="13" t="s">
        <v>21</v>
      </c>
      <c r="M222" s="13" t="s">
        <v>21</v>
      </c>
      <c r="N222" s="13" t="s">
        <v>21</v>
      </c>
      <c r="O222" s="13" t="s">
        <v>21</v>
      </c>
    </row>
    <row r="223" spans="1:15" x14ac:dyDescent="0.3">
      <c r="A223" s="15">
        <v>220</v>
      </c>
      <c r="B223" s="12" t="s">
        <v>252</v>
      </c>
      <c r="C223" s="12" t="s">
        <v>30</v>
      </c>
      <c r="D223" s="13" t="str">
        <f>IF(OR(TabEmbargos[[#This Row],[Impedida sem Imissão na Posse]]="S",TabEmbargos[[#This Row],[Impedida com Imissão na Posse]]="S"),"E","L")</f>
        <v>L</v>
      </c>
      <c r="E223" s="13" t="str">
        <f>IF(COUNTIF(TabEmbargos[[#This Row],[Embargo Projeto]:[Embargo Meio Ambiente]],"S"),"S","N")</f>
        <v>N</v>
      </c>
      <c r="F223" s="13" t="str">
        <f>IF(AND(TabEmbargos[[#This Row],[Embargo Projeto]]="S",TabEmbargos[[#This Row],[Embargo Fundiário]]="S"),"S","N")</f>
        <v>N</v>
      </c>
      <c r="G223" s="13" t="s">
        <v>21</v>
      </c>
      <c r="H223" s="13" t="s">
        <v>21</v>
      </c>
      <c r="I223" s="13" t="s">
        <v>21</v>
      </c>
      <c r="J223" s="13" t="s">
        <v>21</v>
      </c>
      <c r="K223" s="13" t="s">
        <v>21</v>
      </c>
      <c r="L223" s="13" t="s">
        <v>21</v>
      </c>
      <c r="M223" s="13" t="s">
        <v>21</v>
      </c>
      <c r="N223" s="13" t="s">
        <v>21</v>
      </c>
      <c r="O223" s="13" t="s">
        <v>21</v>
      </c>
    </row>
    <row r="224" spans="1:15" x14ac:dyDescent="0.3">
      <c r="A224" s="15">
        <v>221</v>
      </c>
      <c r="B224" s="12" t="s">
        <v>253</v>
      </c>
      <c r="C224" s="12" t="s">
        <v>32</v>
      </c>
      <c r="D224" s="13" t="str">
        <f>IF(OR(TabEmbargos[[#This Row],[Impedida sem Imissão na Posse]]="S",TabEmbargos[[#This Row],[Impedida com Imissão na Posse]]="S"),"E","L")</f>
        <v>L</v>
      </c>
      <c r="E224" s="13" t="str">
        <f>IF(COUNTIF(TabEmbargos[[#This Row],[Embargo Projeto]:[Embargo Meio Ambiente]],"S"),"S","N")</f>
        <v>N</v>
      </c>
      <c r="F224" s="13" t="str">
        <f>IF(AND(TabEmbargos[[#This Row],[Embargo Projeto]]="S",TabEmbargos[[#This Row],[Embargo Fundiário]]="S"),"S","N")</f>
        <v>N</v>
      </c>
      <c r="G224" s="13" t="s">
        <v>21</v>
      </c>
      <c r="H224" s="13" t="s">
        <v>21</v>
      </c>
      <c r="I224" s="13" t="s">
        <v>21</v>
      </c>
      <c r="J224" s="13" t="s">
        <v>21</v>
      </c>
      <c r="K224" s="13" t="s">
        <v>21</v>
      </c>
      <c r="L224" s="13" t="s">
        <v>21</v>
      </c>
      <c r="M224" s="13" t="s">
        <v>21</v>
      </c>
      <c r="N224" s="13" t="s">
        <v>21</v>
      </c>
      <c r="O224" s="13" t="s">
        <v>21</v>
      </c>
    </row>
    <row r="225" spans="1:15" x14ac:dyDescent="0.3">
      <c r="A225" s="15">
        <v>222</v>
      </c>
      <c r="B225" s="12" t="s">
        <v>254</v>
      </c>
      <c r="C225" s="12" t="s">
        <v>105</v>
      </c>
      <c r="D225" s="13" t="str">
        <f>IF(OR(TabEmbargos[[#This Row],[Impedida sem Imissão na Posse]]="S",TabEmbargos[[#This Row],[Impedida com Imissão na Posse]]="S"),"E","L")</f>
        <v>L</v>
      </c>
      <c r="E225" s="13" t="str">
        <f>IF(COUNTIF(TabEmbargos[[#This Row],[Embargo Projeto]:[Embargo Meio Ambiente]],"S"),"S","N")</f>
        <v>N</v>
      </c>
      <c r="F225" s="13" t="str">
        <f>IF(AND(TabEmbargos[[#This Row],[Embargo Projeto]]="S",TabEmbargos[[#This Row],[Embargo Fundiário]]="S"),"S","N")</f>
        <v>N</v>
      </c>
      <c r="G225" s="13" t="s">
        <v>24</v>
      </c>
      <c r="H225" s="13" t="s">
        <v>21</v>
      </c>
      <c r="I225" s="13" t="s">
        <v>21</v>
      </c>
      <c r="J225" s="13" t="s">
        <v>21</v>
      </c>
      <c r="K225" s="13" t="s">
        <v>21</v>
      </c>
      <c r="L225" s="13" t="s">
        <v>21</v>
      </c>
      <c r="M225" s="13" t="s">
        <v>21</v>
      </c>
      <c r="N225" s="13" t="s">
        <v>21</v>
      </c>
      <c r="O225" s="13" t="s">
        <v>21</v>
      </c>
    </row>
    <row r="226" spans="1:15" x14ac:dyDescent="0.3">
      <c r="A226" s="15">
        <v>223</v>
      </c>
      <c r="B226" s="12" t="s">
        <v>255</v>
      </c>
      <c r="C226" s="12" t="s">
        <v>37</v>
      </c>
      <c r="D226" s="13" t="str">
        <f>IF(OR(TabEmbargos[[#This Row],[Impedida sem Imissão na Posse]]="S",TabEmbargos[[#This Row],[Impedida com Imissão na Posse]]="S"),"E","L")</f>
        <v>L</v>
      </c>
      <c r="E226" s="13" t="str">
        <f>IF(COUNTIF(TabEmbargos[[#This Row],[Embargo Projeto]:[Embargo Meio Ambiente]],"S"),"S","N")</f>
        <v>N</v>
      </c>
      <c r="F226" s="13" t="str">
        <f>IF(AND(TabEmbargos[[#This Row],[Embargo Projeto]]="S",TabEmbargos[[#This Row],[Embargo Fundiário]]="S"),"S","N")</f>
        <v>N</v>
      </c>
      <c r="G226" s="13" t="s">
        <v>24</v>
      </c>
      <c r="H226" s="13" t="s">
        <v>21</v>
      </c>
      <c r="I226" s="13" t="s">
        <v>21</v>
      </c>
      <c r="J226" s="13" t="s">
        <v>21</v>
      </c>
      <c r="K226" s="13" t="s">
        <v>21</v>
      </c>
      <c r="L226" s="13" t="s">
        <v>21</v>
      </c>
      <c r="M226" s="13" t="s">
        <v>21</v>
      </c>
      <c r="N226" s="13" t="s">
        <v>21</v>
      </c>
      <c r="O226" s="13" t="s">
        <v>21</v>
      </c>
    </row>
    <row r="227" spans="1:15" x14ac:dyDescent="0.3">
      <c r="A227" s="15">
        <v>224</v>
      </c>
      <c r="B227" s="12" t="s">
        <v>256</v>
      </c>
      <c r="C227" s="12" t="s">
        <v>42</v>
      </c>
      <c r="D227" s="13" t="str">
        <f>IF(OR(TabEmbargos[[#This Row],[Impedida sem Imissão na Posse]]="S",TabEmbargos[[#This Row],[Impedida com Imissão na Posse]]="S"),"E","L")</f>
        <v>L</v>
      </c>
      <c r="E227" s="13" t="str">
        <f>IF(COUNTIF(TabEmbargos[[#This Row],[Embargo Projeto]:[Embargo Meio Ambiente]],"S"),"S","N")</f>
        <v>N</v>
      </c>
      <c r="F227" s="13" t="str">
        <f>IF(AND(TabEmbargos[[#This Row],[Embargo Projeto]]="S",TabEmbargos[[#This Row],[Embargo Fundiário]]="S"),"S","N")</f>
        <v>N</v>
      </c>
      <c r="G227" s="13" t="s">
        <v>21</v>
      </c>
      <c r="H227" s="13" t="s">
        <v>21</v>
      </c>
      <c r="I227" s="13" t="s">
        <v>21</v>
      </c>
      <c r="J227" s="13" t="s">
        <v>21</v>
      </c>
      <c r="K227" s="13" t="s">
        <v>21</v>
      </c>
      <c r="L227" s="13" t="s">
        <v>21</v>
      </c>
      <c r="M227" s="13" t="s">
        <v>21</v>
      </c>
      <c r="N227" s="13" t="s">
        <v>21</v>
      </c>
      <c r="O227" s="13" t="s">
        <v>21</v>
      </c>
    </row>
    <row r="228" spans="1:15" x14ac:dyDescent="0.3">
      <c r="A228" s="15">
        <v>225</v>
      </c>
      <c r="B228" s="12" t="s">
        <v>257</v>
      </c>
      <c r="C228" s="12" t="s">
        <v>32</v>
      </c>
      <c r="D228" s="13" t="str">
        <f>IF(OR(TabEmbargos[[#This Row],[Impedida sem Imissão na Posse]]="S",TabEmbargos[[#This Row],[Impedida com Imissão na Posse]]="S"),"E","L")</f>
        <v>L</v>
      </c>
      <c r="E228" s="13" t="str">
        <f>IF(COUNTIF(TabEmbargos[[#This Row],[Embargo Projeto]:[Embargo Meio Ambiente]],"S"),"S","N")</f>
        <v>N</v>
      </c>
      <c r="F228" s="13" t="str">
        <f>IF(AND(TabEmbargos[[#This Row],[Embargo Projeto]]="S",TabEmbargos[[#This Row],[Embargo Fundiário]]="S"),"S","N")</f>
        <v>N</v>
      </c>
      <c r="G228" s="13" t="s">
        <v>21</v>
      </c>
      <c r="H228" s="13" t="s">
        <v>21</v>
      </c>
      <c r="I228" s="13" t="s">
        <v>21</v>
      </c>
      <c r="J228" s="13" t="s">
        <v>21</v>
      </c>
      <c r="K228" s="13" t="s">
        <v>21</v>
      </c>
      <c r="L228" s="13" t="s">
        <v>21</v>
      </c>
      <c r="M228" s="13" t="s">
        <v>21</v>
      </c>
      <c r="N228" s="13" t="s">
        <v>21</v>
      </c>
      <c r="O228" s="13" t="s">
        <v>21</v>
      </c>
    </row>
    <row r="229" spans="1:15" x14ac:dyDescent="0.3">
      <c r="A229" s="15">
        <v>226</v>
      </c>
      <c r="B229" s="12" t="s">
        <v>258</v>
      </c>
      <c r="C229" s="12" t="s">
        <v>52</v>
      </c>
      <c r="D229" s="13" t="str">
        <f>IF(OR(TabEmbargos[[#This Row],[Impedida sem Imissão na Posse]]="S",TabEmbargos[[#This Row],[Impedida com Imissão na Posse]]="S"),"E","L")</f>
        <v>L</v>
      </c>
      <c r="E229" s="13" t="str">
        <f>IF(COUNTIF(TabEmbargos[[#This Row],[Embargo Projeto]:[Embargo Meio Ambiente]],"S"),"S","N")</f>
        <v>N</v>
      </c>
      <c r="F229" s="13" t="str">
        <f>IF(AND(TabEmbargos[[#This Row],[Embargo Projeto]]="S",TabEmbargos[[#This Row],[Embargo Fundiário]]="S"),"S","N")</f>
        <v>N</v>
      </c>
      <c r="G229" s="13" t="s">
        <v>24</v>
      </c>
      <c r="H229" s="13" t="s">
        <v>21</v>
      </c>
      <c r="I229" s="13" t="s">
        <v>21</v>
      </c>
      <c r="J229" s="13" t="s">
        <v>21</v>
      </c>
      <c r="K229" s="13" t="s">
        <v>21</v>
      </c>
      <c r="L229" s="13" t="s">
        <v>21</v>
      </c>
      <c r="M229" s="13" t="s">
        <v>21</v>
      </c>
      <c r="N229" s="13" t="s">
        <v>21</v>
      </c>
      <c r="O229" s="13" t="s">
        <v>21</v>
      </c>
    </row>
    <row r="230" spans="1:15" x14ac:dyDescent="0.3">
      <c r="A230" s="15">
        <v>227</v>
      </c>
      <c r="B230" s="12" t="s">
        <v>259</v>
      </c>
      <c r="C230" s="12" t="s">
        <v>52</v>
      </c>
      <c r="D230" s="13" t="str">
        <f>IF(OR(TabEmbargos[[#This Row],[Impedida sem Imissão na Posse]]="S",TabEmbargos[[#This Row],[Impedida com Imissão na Posse]]="S"),"E","L")</f>
        <v>L</v>
      </c>
      <c r="E230" s="13" t="str">
        <f>IF(COUNTIF(TabEmbargos[[#This Row],[Embargo Projeto]:[Embargo Meio Ambiente]],"S"),"S","N")</f>
        <v>N</v>
      </c>
      <c r="F230" s="13" t="str">
        <f>IF(AND(TabEmbargos[[#This Row],[Embargo Projeto]]="S",TabEmbargos[[#This Row],[Embargo Fundiário]]="S"),"S","N")</f>
        <v>N</v>
      </c>
      <c r="G230" s="13" t="s">
        <v>21</v>
      </c>
      <c r="H230" s="13" t="s">
        <v>21</v>
      </c>
      <c r="I230" s="13" t="s">
        <v>21</v>
      </c>
      <c r="J230" s="13" t="s">
        <v>21</v>
      </c>
      <c r="K230" s="13" t="s">
        <v>21</v>
      </c>
      <c r="L230" s="13" t="s">
        <v>21</v>
      </c>
      <c r="M230" s="13" t="s">
        <v>21</v>
      </c>
      <c r="N230" s="13" t="s">
        <v>21</v>
      </c>
      <c r="O230" s="13" t="s">
        <v>21</v>
      </c>
    </row>
    <row r="231" spans="1:15" x14ac:dyDescent="0.3">
      <c r="A231" s="15">
        <v>228</v>
      </c>
      <c r="B231" s="12" t="s">
        <v>260</v>
      </c>
      <c r="C231" s="12" t="s">
        <v>37</v>
      </c>
      <c r="D231" s="13" t="str">
        <f>IF(OR(TabEmbargos[[#This Row],[Impedida sem Imissão na Posse]]="S",TabEmbargos[[#This Row],[Impedida com Imissão na Posse]]="S"),"E","L")</f>
        <v>L</v>
      </c>
      <c r="E231" s="13" t="str">
        <f>IF(COUNTIF(TabEmbargos[[#This Row],[Embargo Projeto]:[Embargo Meio Ambiente]],"S"),"S","N")</f>
        <v>N</v>
      </c>
      <c r="F231" s="13" t="str">
        <f>IF(AND(TabEmbargos[[#This Row],[Embargo Projeto]]="S",TabEmbargos[[#This Row],[Embargo Fundiário]]="S"),"S","N")</f>
        <v>N</v>
      </c>
      <c r="G231" s="13" t="s">
        <v>21</v>
      </c>
      <c r="H231" s="13" t="s">
        <v>21</v>
      </c>
      <c r="I231" s="13" t="s">
        <v>21</v>
      </c>
      <c r="J231" s="13" t="s">
        <v>21</v>
      </c>
      <c r="K231" s="13" t="s">
        <v>21</v>
      </c>
      <c r="L231" s="13" t="s">
        <v>21</v>
      </c>
      <c r="M231" s="13" t="s">
        <v>21</v>
      </c>
      <c r="N231" s="13" t="s">
        <v>21</v>
      </c>
      <c r="O231" s="13" t="s">
        <v>21</v>
      </c>
    </row>
    <row r="232" spans="1:15" x14ac:dyDescent="0.3">
      <c r="A232" s="15">
        <v>229</v>
      </c>
      <c r="B232" s="12" t="s">
        <v>261</v>
      </c>
      <c r="C232" s="12" t="s">
        <v>37</v>
      </c>
      <c r="D232" s="13" t="str">
        <f>IF(OR(TabEmbargos[[#This Row],[Impedida sem Imissão na Posse]]="S",TabEmbargos[[#This Row],[Impedida com Imissão na Posse]]="S"),"E","L")</f>
        <v>L</v>
      </c>
      <c r="E232" s="13" t="str">
        <f>IF(COUNTIF(TabEmbargos[[#This Row],[Embargo Projeto]:[Embargo Meio Ambiente]],"S"),"S","N")</f>
        <v>N</v>
      </c>
      <c r="F232" s="13" t="str">
        <f>IF(AND(TabEmbargos[[#This Row],[Embargo Projeto]]="S",TabEmbargos[[#This Row],[Embargo Fundiário]]="S"),"S","N")</f>
        <v>N</v>
      </c>
      <c r="G232" s="13" t="s">
        <v>24</v>
      </c>
      <c r="H232" s="13" t="s">
        <v>21</v>
      </c>
      <c r="I232" s="13" t="s">
        <v>21</v>
      </c>
      <c r="J232" s="13" t="s">
        <v>21</v>
      </c>
      <c r="K232" s="13" t="s">
        <v>21</v>
      </c>
      <c r="L232" s="13" t="s">
        <v>21</v>
      </c>
      <c r="M232" s="13" t="s">
        <v>21</v>
      </c>
      <c r="N232" s="13" t="s">
        <v>21</v>
      </c>
      <c r="O232" s="13" t="s">
        <v>21</v>
      </c>
    </row>
    <row r="233" spans="1:15" x14ac:dyDescent="0.3">
      <c r="A233" s="17">
        <v>230</v>
      </c>
      <c r="B233" s="12" t="s">
        <v>262</v>
      </c>
      <c r="C233" s="12" t="s">
        <v>32</v>
      </c>
      <c r="D233" s="13" t="str">
        <f>IF(OR(TabEmbargos[[#This Row],[Impedida sem Imissão na Posse]]="S",TabEmbargos[[#This Row],[Impedida com Imissão na Posse]]="S"),"E","L")</f>
        <v>L</v>
      </c>
      <c r="E233" s="13" t="str">
        <f>IF(COUNTIF(TabEmbargos[[#This Row],[Embargo Projeto]:[Embargo Meio Ambiente]],"S"),"S","N")</f>
        <v>N</v>
      </c>
      <c r="F233" s="13" t="str">
        <f>IF(AND(TabEmbargos[[#This Row],[Embargo Projeto]]="S",TabEmbargos[[#This Row],[Embargo Fundiário]]="S"),"S","N")</f>
        <v>N</v>
      </c>
      <c r="G233" s="13" t="s">
        <v>21</v>
      </c>
      <c r="H233" s="13" t="s">
        <v>21</v>
      </c>
      <c r="I233" s="13" t="s">
        <v>21</v>
      </c>
      <c r="J233" s="13" t="s">
        <v>21</v>
      </c>
      <c r="K233" s="13" t="s">
        <v>21</v>
      </c>
      <c r="L233" s="13" t="s">
        <v>21</v>
      </c>
      <c r="M233" s="13" t="s">
        <v>21</v>
      </c>
      <c r="N233" s="13" t="s">
        <v>21</v>
      </c>
      <c r="O233" s="13" t="s">
        <v>21</v>
      </c>
    </row>
    <row r="234" spans="1:15" x14ac:dyDescent="0.3">
      <c r="A234" s="17">
        <v>231</v>
      </c>
      <c r="B234" s="12" t="s">
        <v>263</v>
      </c>
      <c r="C234" s="12" t="s">
        <v>30</v>
      </c>
      <c r="D234" s="13" t="str">
        <f>IF(OR(TabEmbargos[[#This Row],[Impedida sem Imissão na Posse]]="S",TabEmbargos[[#This Row],[Impedida com Imissão na Posse]]="S"),"E","L")</f>
        <v>L</v>
      </c>
      <c r="E234" s="13" t="str">
        <f>IF(COUNTIF(TabEmbargos[[#This Row],[Embargo Projeto]:[Embargo Meio Ambiente]],"S"),"S","N")</f>
        <v>N</v>
      </c>
      <c r="F234" s="13" t="str">
        <f>IF(AND(TabEmbargos[[#This Row],[Embargo Projeto]]="S",TabEmbargos[[#This Row],[Embargo Fundiário]]="S"),"S","N")</f>
        <v>N</v>
      </c>
      <c r="G234" s="13" t="s">
        <v>21</v>
      </c>
      <c r="H234" s="13" t="s">
        <v>21</v>
      </c>
      <c r="I234" s="13" t="s">
        <v>21</v>
      </c>
      <c r="J234" s="13" t="s">
        <v>21</v>
      </c>
      <c r="K234" s="13" t="s">
        <v>21</v>
      </c>
      <c r="L234" s="13" t="s">
        <v>21</v>
      </c>
      <c r="M234" s="13" t="s">
        <v>21</v>
      </c>
      <c r="N234" s="13" t="s">
        <v>21</v>
      </c>
      <c r="O234" s="13" t="s">
        <v>21</v>
      </c>
    </row>
    <row r="235" spans="1:15" x14ac:dyDescent="0.3">
      <c r="A235" s="17">
        <v>232</v>
      </c>
      <c r="B235" s="12" t="s">
        <v>264</v>
      </c>
      <c r="C235" s="12" t="s">
        <v>42</v>
      </c>
      <c r="D235" s="13" t="str">
        <f>IF(OR(TabEmbargos[[#This Row],[Impedida sem Imissão na Posse]]="S",TabEmbargos[[#This Row],[Impedida com Imissão na Posse]]="S"),"E","L")</f>
        <v>L</v>
      </c>
      <c r="E235" s="13" t="str">
        <f>IF(COUNTIF(TabEmbargos[[#This Row],[Embargo Projeto]:[Embargo Meio Ambiente]],"S"),"S","N")</f>
        <v>N</v>
      </c>
      <c r="F235" s="13" t="str">
        <f>IF(AND(TabEmbargos[[#This Row],[Embargo Projeto]]="S",TabEmbargos[[#This Row],[Embargo Fundiário]]="S"),"S","N")</f>
        <v>N</v>
      </c>
      <c r="G235" s="13" t="s">
        <v>21</v>
      </c>
      <c r="H235" s="13" t="s">
        <v>21</v>
      </c>
      <c r="I235" s="13" t="s">
        <v>21</v>
      </c>
      <c r="J235" s="13" t="s">
        <v>21</v>
      </c>
      <c r="K235" s="13" t="s">
        <v>21</v>
      </c>
      <c r="L235" s="13" t="s">
        <v>21</v>
      </c>
      <c r="M235" s="13" t="s">
        <v>21</v>
      </c>
      <c r="N235" s="13" t="s">
        <v>21</v>
      </c>
      <c r="O235" s="13" t="s">
        <v>21</v>
      </c>
    </row>
    <row r="236" spans="1:15" x14ac:dyDescent="0.3">
      <c r="A236" s="17">
        <v>233</v>
      </c>
      <c r="B236" s="12" t="s">
        <v>265</v>
      </c>
      <c r="C236" s="12" t="s">
        <v>26</v>
      </c>
      <c r="D236" s="13" t="str">
        <f>IF(OR(TabEmbargos[[#This Row],[Impedida sem Imissão na Posse]]="S",TabEmbargos[[#This Row],[Impedida com Imissão na Posse]]="S"),"E","L")</f>
        <v>L</v>
      </c>
      <c r="E236" s="13" t="str">
        <f>IF(COUNTIF(TabEmbargos[[#This Row],[Embargo Projeto]:[Embargo Meio Ambiente]],"S"),"S","N")</f>
        <v>N</v>
      </c>
      <c r="F236" s="13" t="str">
        <f>IF(AND(TabEmbargos[[#This Row],[Embargo Projeto]]="S",TabEmbargos[[#This Row],[Embargo Fundiário]]="S"),"S","N")</f>
        <v>N</v>
      </c>
      <c r="G236" s="13" t="s">
        <v>21</v>
      </c>
      <c r="H236" s="13" t="s">
        <v>21</v>
      </c>
      <c r="I236" s="13" t="s">
        <v>21</v>
      </c>
      <c r="J236" s="13" t="s">
        <v>21</v>
      </c>
      <c r="K236" s="13" t="s">
        <v>21</v>
      </c>
      <c r="L236" s="13" t="s">
        <v>21</v>
      </c>
      <c r="M236" s="13" t="s">
        <v>21</v>
      </c>
      <c r="N236" s="13" t="s">
        <v>21</v>
      </c>
      <c r="O236" s="13" t="s">
        <v>21</v>
      </c>
    </row>
    <row r="237" spans="1:15" x14ac:dyDescent="0.3">
      <c r="A237" s="17">
        <v>234</v>
      </c>
      <c r="B237" s="12" t="s">
        <v>266</v>
      </c>
      <c r="C237" s="12" t="s">
        <v>52</v>
      </c>
      <c r="D237" s="13" t="str">
        <f>IF(OR(TabEmbargos[[#This Row],[Impedida sem Imissão na Posse]]="S",TabEmbargos[[#This Row],[Impedida com Imissão na Posse]]="S"),"E","L")</f>
        <v>L</v>
      </c>
      <c r="E237" s="13" t="str">
        <f>IF(COUNTIF(TabEmbargos[[#This Row],[Embargo Projeto]:[Embargo Meio Ambiente]],"S"),"S","N")</f>
        <v>N</v>
      </c>
      <c r="F237" s="13" t="str">
        <f>IF(AND(TabEmbargos[[#This Row],[Embargo Projeto]]="S",TabEmbargos[[#This Row],[Embargo Fundiário]]="S"),"S","N")</f>
        <v>N</v>
      </c>
      <c r="G237" s="13" t="s">
        <v>21</v>
      </c>
      <c r="H237" s="13" t="s">
        <v>21</v>
      </c>
      <c r="I237" s="13" t="s">
        <v>21</v>
      </c>
      <c r="J237" s="13" t="s">
        <v>21</v>
      </c>
      <c r="K237" s="13" t="s">
        <v>21</v>
      </c>
      <c r="L237" s="13" t="s">
        <v>21</v>
      </c>
      <c r="M237" s="13" t="s">
        <v>21</v>
      </c>
      <c r="N237" s="13" t="s">
        <v>21</v>
      </c>
      <c r="O237" s="13" t="s">
        <v>21</v>
      </c>
    </row>
    <row r="238" spans="1:15" x14ac:dyDescent="0.3">
      <c r="A238" s="17">
        <v>235</v>
      </c>
      <c r="B238" s="12" t="s">
        <v>267</v>
      </c>
      <c r="C238" s="12" t="s">
        <v>52</v>
      </c>
      <c r="D238" s="13" t="str">
        <f>IF(OR(TabEmbargos[[#This Row],[Impedida sem Imissão na Posse]]="S",TabEmbargos[[#This Row],[Impedida com Imissão na Posse]]="S"),"E","L")</f>
        <v>L</v>
      </c>
      <c r="E238" s="13" t="str">
        <f>IF(COUNTIF(TabEmbargos[[#This Row],[Embargo Projeto]:[Embargo Meio Ambiente]],"S"),"S","N")</f>
        <v>N</v>
      </c>
      <c r="F238" s="13" t="str">
        <f>IF(AND(TabEmbargos[[#This Row],[Embargo Projeto]]="S",TabEmbargos[[#This Row],[Embargo Fundiário]]="S"),"S","N")</f>
        <v>N</v>
      </c>
      <c r="G238" s="13" t="s">
        <v>21</v>
      </c>
      <c r="H238" s="13" t="s">
        <v>21</v>
      </c>
      <c r="I238" s="13" t="s">
        <v>21</v>
      </c>
      <c r="J238" s="13" t="s">
        <v>21</v>
      </c>
      <c r="K238" s="13" t="s">
        <v>21</v>
      </c>
      <c r="L238" s="13" t="s">
        <v>21</v>
      </c>
      <c r="M238" s="13" t="s">
        <v>21</v>
      </c>
      <c r="N238" s="13" t="s">
        <v>21</v>
      </c>
      <c r="O238" s="13" t="s">
        <v>21</v>
      </c>
    </row>
    <row r="239" spans="1:15" x14ac:dyDescent="0.3">
      <c r="A239" s="17">
        <v>236</v>
      </c>
      <c r="B239" s="12" t="s">
        <v>268</v>
      </c>
      <c r="C239" s="12" t="s">
        <v>52</v>
      </c>
      <c r="D239" s="13" t="str">
        <f>IF(OR(TabEmbargos[[#This Row],[Impedida sem Imissão na Posse]]="S",TabEmbargos[[#This Row],[Impedida com Imissão na Posse]]="S"),"E","L")</f>
        <v>L</v>
      </c>
      <c r="E239" s="13" t="str">
        <f>IF(COUNTIF(TabEmbargos[[#This Row],[Embargo Projeto]:[Embargo Meio Ambiente]],"S"),"S","N")</f>
        <v>N</v>
      </c>
      <c r="F239" s="13" t="str">
        <f>IF(AND(TabEmbargos[[#This Row],[Embargo Projeto]]="S",TabEmbargos[[#This Row],[Embargo Fundiário]]="S"),"S","N")</f>
        <v>N</v>
      </c>
      <c r="G239" s="13" t="s">
        <v>24</v>
      </c>
      <c r="H239" s="13" t="s">
        <v>21</v>
      </c>
      <c r="I239" s="13" t="s">
        <v>21</v>
      </c>
      <c r="J239" s="13" t="s">
        <v>21</v>
      </c>
      <c r="K239" s="13" t="s">
        <v>21</v>
      </c>
      <c r="L239" s="13" t="s">
        <v>21</v>
      </c>
      <c r="M239" s="13" t="s">
        <v>21</v>
      </c>
      <c r="N239" s="13" t="s">
        <v>21</v>
      </c>
      <c r="O239" s="13" t="s">
        <v>21</v>
      </c>
    </row>
    <row r="240" spans="1:15" x14ac:dyDescent="0.3">
      <c r="A240" s="17">
        <v>237</v>
      </c>
      <c r="B240" s="12" t="s">
        <v>269</v>
      </c>
      <c r="C240" s="12" t="s">
        <v>42</v>
      </c>
      <c r="D240" s="13" t="str">
        <f>IF(OR(TabEmbargos[[#This Row],[Impedida sem Imissão na Posse]]="S",TabEmbargos[[#This Row],[Impedida com Imissão na Posse]]="S"),"E","L")</f>
        <v>L</v>
      </c>
      <c r="E240" s="13" t="str">
        <f>IF(COUNTIF(TabEmbargos[[#This Row],[Embargo Projeto]:[Embargo Meio Ambiente]],"S"),"S","N")</f>
        <v>N</v>
      </c>
      <c r="F240" s="13" t="str">
        <f>IF(AND(TabEmbargos[[#This Row],[Embargo Projeto]]="S",TabEmbargos[[#This Row],[Embargo Fundiário]]="S"),"S","N")</f>
        <v>N</v>
      </c>
      <c r="G240" s="13" t="s">
        <v>21</v>
      </c>
      <c r="H240" s="13" t="s">
        <v>21</v>
      </c>
      <c r="I240" s="13" t="s">
        <v>21</v>
      </c>
      <c r="J240" s="13" t="s">
        <v>21</v>
      </c>
      <c r="K240" s="13" t="s">
        <v>21</v>
      </c>
      <c r="L240" s="13" t="s">
        <v>21</v>
      </c>
      <c r="M240" s="13" t="s">
        <v>21</v>
      </c>
      <c r="N240" s="13" t="s">
        <v>21</v>
      </c>
      <c r="O240" s="13" t="s">
        <v>21</v>
      </c>
    </row>
    <row r="241" spans="1:15" x14ac:dyDescent="0.3">
      <c r="A241" s="17">
        <v>238</v>
      </c>
      <c r="B241" s="12" t="s">
        <v>270</v>
      </c>
      <c r="C241" s="12" t="s">
        <v>42</v>
      </c>
      <c r="D241" s="13" t="str">
        <f>IF(OR(TabEmbargos[[#This Row],[Impedida sem Imissão na Posse]]="S",TabEmbargos[[#This Row],[Impedida com Imissão na Posse]]="S"),"E","L")</f>
        <v>L</v>
      </c>
      <c r="E241" s="13" t="str">
        <f>IF(COUNTIF(TabEmbargos[[#This Row],[Embargo Projeto]:[Embargo Meio Ambiente]],"S"),"S","N")</f>
        <v>N</v>
      </c>
      <c r="F241" s="13" t="str">
        <f>IF(AND(TabEmbargos[[#This Row],[Embargo Projeto]]="S",TabEmbargos[[#This Row],[Embargo Fundiário]]="S"),"S","N")</f>
        <v>N</v>
      </c>
      <c r="G241" s="13" t="s">
        <v>24</v>
      </c>
      <c r="H241" s="13" t="s">
        <v>21</v>
      </c>
      <c r="I241" s="13" t="s">
        <v>21</v>
      </c>
      <c r="J241" s="13" t="s">
        <v>21</v>
      </c>
      <c r="K241" s="13" t="s">
        <v>21</v>
      </c>
      <c r="L241" s="13" t="s">
        <v>21</v>
      </c>
      <c r="M241" s="13" t="s">
        <v>21</v>
      </c>
      <c r="N241" s="13" t="s">
        <v>21</v>
      </c>
      <c r="O241" s="13" t="s">
        <v>21</v>
      </c>
    </row>
    <row r="242" spans="1:15" x14ac:dyDescent="0.3">
      <c r="A242" s="17">
        <v>239</v>
      </c>
      <c r="B242" s="12" t="s">
        <v>271</v>
      </c>
      <c r="C242" s="12" t="s">
        <v>37</v>
      </c>
      <c r="D242" s="13" t="str">
        <f>IF(OR(TabEmbargos[[#This Row],[Impedida sem Imissão na Posse]]="S",TabEmbargos[[#This Row],[Impedida com Imissão na Posse]]="S"),"E","L")</f>
        <v>L</v>
      </c>
      <c r="E242" s="13" t="str">
        <f>IF(COUNTIF(TabEmbargos[[#This Row],[Embargo Projeto]:[Embargo Meio Ambiente]],"S"),"S","N")</f>
        <v>N</v>
      </c>
      <c r="F242" s="13" t="str">
        <f>IF(AND(TabEmbargos[[#This Row],[Embargo Projeto]]="S",TabEmbargos[[#This Row],[Embargo Fundiário]]="S"),"S","N")</f>
        <v>N</v>
      </c>
      <c r="G242" s="13" t="s">
        <v>21</v>
      </c>
      <c r="H242" s="13" t="s">
        <v>21</v>
      </c>
      <c r="I242" s="13" t="s">
        <v>21</v>
      </c>
      <c r="J242" s="13" t="s">
        <v>21</v>
      </c>
      <c r="K242" s="13" t="s">
        <v>21</v>
      </c>
      <c r="L242" s="13" t="s">
        <v>21</v>
      </c>
      <c r="M242" s="13" t="s">
        <v>21</v>
      </c>
      <c r="N242" s="13" t="s">
        <v>21</v>
      </c>
      <c r="O242" s="13" t="s">
        <v>21</v>
      </c>
    </row>
    <row r="243" spans="1:15" x14ac:dyDescent="0.3">
      <c r="A243" s="17">
        <v>240</v>
      </c>
      <c r="B243" s="12" t="s">
        <v>272</v>
      </c>
      <c r="C243" s="12" t="s">
        <v>42</v>
      </c>
      <c r="D243" s="13" t="str">
        <f>IF(OR(TabEmbargos[[#This Row],[Impedida sem Imissão na Posse]]="S",TabEmbargos[[#This Row],[Impedida com Imissão na Posse]]="S"),"E","L")</f>
        <v>L</v>
      </c>
      <c r="E243" s="13" t="str">
        <f>IF(COUNTIF(TabEmbargos[[#This Row],[Embargo Projeto]:[Embargo Meio Ambiente]],"S"),"S","N")</f>
        <v>N</v>
      </c>
      <c r="F243" s="13" t="str">
        <f>IF(AND(TabEmbargos[[#This Row],[Embargo Projeto]]="S",TabEmbargos[[#This Row],[Embargo Fundiário]]="S"),"S","N")</f>
        <v>N</v>
      </c>
      <c r="G243" s="13" t="s">
        <v>21</v>
      </c>
      <c r="H243" s="13" t="s">
        <v>21</v>
      </c>
      <c r="I243" s="13" t="s">
        <v>21</v>
      </c>
      <c r="J243" s="13" t="s">
        <v>21</v>
      </c>
      <c r="K243" s="13" t="s">
        <v>21</v>
      </c>
      <c r="L243" s="13" t="s">
        <v>21</v>
      </c>
      <c r="M243" s="13" t="s">
        <v>21</v>
      </c>
      <c r="N243" s="13" t="s">
        <v>21</v>
      </c>
      <c r="O243" s="13" t="s">
        <v>21</v>
      </c>
    </row>
    <row r="244" spans="1:15" x14ac:dyDescent="0.3">
      <c r="A244" s="17">
        <v>241</v>
      </c>
      <c r="B244" s="12" t="s">
        <v>273</v>
      </c>
      <c r="C244" s="12" t="s">
        <v>37</v>
      </c>
      <c r="D244" s="13" t="str">
        <f>IF(OR(TabEmbargos[[#This Row],[Impedida sem Imissão na Posse]]="S",TabEmbargos[[#This Row],[Impedida com Imissão na Posse]]="S"),"E","L")</f>
        <v>L</v>
      </c>
      <c r="E244" s="13" t="str">
        <f>IF(COUNTIF(TabEmbargos[[#This Row],[Embargo Projeto]:[Embargo Meio Ambiente]],"S"),"S","N")</f>
        <v>N</v>
      </c>
      <c r="F244" s="13" t="str">
        <f>IF(AND(TabEmbargos[[#This Row],[Embargo Projeto]]="S",TabEmbargos[[#This Row],[Embargo Fundiário]]="S"),"S","N")</f>
        <v>N</v>
      </c>
      <c r="G244" s="13" t="s">
        <v>21</v>
      </c>
      <c r="H244" s="13" t="s">
        <v>21</v>
      </c>
      <c r="I244" s="13" t="s">
        <v>21</v>
      </c>
      <c r="J244" s="13" t="s">
        <v>21</v>
      </c>
      <c r="K244" s="13" t="s">
        <v>21</v>
      </c>
      <c r="L244" s="13" t="s">
        <v>21</v>
      </c>
      <c r="M244" s="13" t="s">
        <v>21</v>
      </c>
      <c r="N244" s="13" t="s">
        <v>21</v>
      </c>
      <c r="O244" s="13" t="s">
        <v>21</v>
      </c>
    </row>
    <row r="245" spans="1:15" x14ac:dyDescent="0.3">
      <c r="A245" s="17">
        <v>242</v>
      </c>
      <c r="B245" s="12" t="s">
        <v>274</v>
      </c>
      <c r="C245" s="12" t="s">
        <v>72</v>
      </c>
      <c r="D245" s="13" t="str">
        <f>IF(OR(TabEmbargos[[#This Row],[Impedida sem Imissão na Posse]]="S",TabEmbargos[[#This Row],[Impedida com Imissão na Posse]]="S"),"E","L")</f>
        <v>L</v>
      </c>
      <c r="E245" s="13" t="str">
        <f>IF(COUNTIF(TabEmbargos[[#This Row],[Embargo Projeto]:[Embargo Meio Ambiente]],"S"),"S","N")</f>
        <v>N</v>
      </c>
      <c r="F245" s="13" t="str">
        <f>IF(AND(TabEmbargos[[#This Row],[Embargo Projeto]]="S",TabEmbargos[[#This Row],[Embargo Fundiário]]="S"),"S","N")</f>
        <v>N</v>
      </c>
      <c r="G245" s="13" t="s">
        <v>21</v>
      </c>
      <c r="H245" s="13" t="s">
        <v>21</v>
      </c>
      <c r="I245" s="13" t="s">
        <v>21</v>
      </c>
      <c r="J245" s="13" t="s">
        <v>21</v>
      </c>
      <c r="K245" s="13" t="s">
        <v>21</v>
      </c>
      <c r="L245" s="13" t="s">
        <v>21</v>
      </c>
      <c r="M245" s="13" t="s">
        <v>21</v>
      </c>
      <c r="N245" s="13" t="s">
        <v>21</v>
      </c>
      <c r="O245" s="13" t="s">
        <v>21</v>
      </c>
    </row>
    <row r="246" spans="1:15" x14ac:dyDescent="0.3">
      <c r="A246" s="17">
        <v>243</v>
      </c>
      <c r="B246" s="12" t="s">
        <v>275</v>
      </c>
      <c r="C246" s="12" t="s">
        <v>37</v>
      </c>
      <c r="D246" s="13" t="str">
        <f>IF(OR(TabEmbargos[[#This Row],[Impedida sem Imissão na Posse]]="S",TabEmbargos[[#This Row],[Impedida com Imissão na Posse]]="S"),"E","L")</f>
        <v>E</v>
      </c>
      <c r="E246" s="13" t="str">
        <f>IF(COUNTIF(TabEmbargos[[#This Row],[Embargo Projeto]:[Embargo Meio Ambiente]],"S"),"S","N")</f>
        <v>S</v>
      </c>
      <c r="F246" s="13" t="str">
        <f>IF(AND(TabEmbargos[[#This Row],[Embargo Projeto]]="S",TabEmbargos[[#This Row],[Embargo Fundiário]]="S"),"S","N")</f>
        <v>N</v>
      </c>
      <c r="G246" s="13" t="s">
        <v>21</v>
      </c>
      <c r="H246" s="13" t="s">
        <v>24</v>
      </c>
      <c r="I246" s="13" t="s">
        <v>21</v>
      </c>
      <c r="J246" s="13" t="s">
        <v>21</v>
      </c>
      <c r="K246" s="13" t="s">
        <v>21</v>
      </c>
      <c r="L246" s="13" t="s">
        <v>21</v>
      </c>
      <c r="M246" s="13" t="s">
        <v>21</v>
      </c>
      <c r="N246" s="13" t="s">
        <v>21</v>
      </c>
      <c r="O246" s="13" t="s">
        <v>21</v>
      </c>
    </row>
    <row r="247" spans="1:15" x14ac:dyDescent="0.3">
      <c r="A247" s="17">
        <v>244</v>
      </c>
      <c r="B247" s="12" t="s">
        <v>276</v>
      </c>
      <c r="C247" s="12" t="s">
        <v>37</v>
      </c>
      <c r="D247" s="13" t="str">
        <f>IF(OR(TabEmbargos[[#This Row],[Impedida sem Imissão na Posse]]="S",TabEmbargos[[#This Row],[Impedida com Imissão na Posse]]="S"),"E","L")</f>
        <v>E</v>
      </c>
      <c r="E247" s="13" t="str">
        <f>IF(COUNTIF(TabEmbargos[[#This Row],[Embargo Projeto]:[Embargo Meio Ambiente]],"S"),"S","N")</f>
        <v>S</v>
      </c>
      <c r="F247" s="13" t="str">
        <f>IF(AND(TabEmbargos[[#This Row],[Embargo Projeto]]="S",TabEmbargos[[#This Row],[Embargo Fundiário]]="S"),"S","N")</f>
        <v>N</v>
      </c>
      <c r="G247" s="13" t="s">
        <v>21</v>
      </c>
      <c r="H247" s="13" t="s">
        <v>24</v>
      </c>
      <c r="I247" s="13" t="s">
        <v>24</v>
      </c>
      <c r="J247" s="13" t="s">
        <v>21</v>
      </c>
      <c r="K247" s="13" t="s">
        <v>21</v>
      </c>
      <c r="L247" s="13" t="s">
        <v>21</v>
      </c>
      <c r="M247" s="13" t="s">
        <v>21</v>
      </c>
      <c r="N247" s="13" t="s">
        <v>21</v>
      </c>
      <c r="O247" s="13" t="s">
        <v>21</v>
      </c>
    </row>
    <row r="248" spans="1:15" x14ac:dyDescent="0.3">
      <c r="A248" s="17">
        <v>245</v>
      </c>
      <c r="B248" s="12" t="s">
        <v>277</v>
      </c>
      <c r="C248" s="12" t="s">
        <v>125</v>
      </c>
      <c r="D248" s="13" t="str">
        <f>IF(OR(TabEmbargos[[#This Row],[Impedida sem Imissão na Posse]]="S",TabEmbargos[[#This Row],[Impedida com Imissão na Posse]]="S"),"E","L")</f>
        <v>E</v>
      </c>
      <c r="E248" s="13" t="str">
        <f>IF(COUNTIF(TabEmbargos[[#This Row],[Embargo Projeto]:[Embargo Meio Ambiente]],"S"),"S","N")</f>
        <v>S</v>
      </c>
      <c r="F248" s="13" t="str">
        <f>IF(AND(TabEmbargos[[#This Row],[Embargo Projeto]]="S",TabEmbargos[[#This Row],[Embargo Fundiário]]="S"),"S","N")</f>
        <v>N</v>
      </c>
      <c r="G248" s="13" t="s">
        <v>21</v>
      </c>
      <c r="H248" s="13" t="s">
        <v>21</v>
      </c>
      <c r="I248" s="13" t="s">
        <v>24</v>
      </c>
      <c r="J248" s="13" t="s">
        <v>21</v>
      </c>
      <c r="K248" s="13" t="s">
        <v>21</v>
      </c>
      <c r="L248" s="13" t="s">
        <v>21</v>
      </c>
      <c r="M248" s="13" t="s">
        <v>21</v>
      </c>
      <c r="N248" s="13" t="s">
        <v>21</v>
      </c>
      <c r="O248" s="13" t="s">
        <v>21</v>
      </c>
    </row>
    <row r="249" spans="1:15" x14ac:dyDescent="0.3">
      <c r="A249" s="17">
        <v>246</v>
      </c>
      <c r="B249" s="12" t="s">
        <v>278</v>
      </c>
      <c r="C249" s="12" t="s">
        <v>32</v>
      </c>
      <c r="D249" s="13" t="str">
        <f>IF(OR(TabEmbargos[[#This Row],[Impedida sem Imissão na Posse]]="S",TabEmbargos[[#This Row],[Impedida com Imissão na Posse]]="S"),"E","L")</f>
        <v>L</v>
      </c>
      <c r="E249" s="13" t="str">
        <f>IF(COUNTIF(TabEmbargos[[#This Row],[Embargo Projeto]:[Embargo Meio Ambiente]],"S"),"S","N")</f>
        <v>N</v>
      </c>
      <c r="F249" s="13" t="str">
        <f>IF(AND(TabEmbargos[[#This Row],[Embargo Projeto]]="S",TabEmbargos[[#This Row],[Embargo Fundiário]]="S"),"S","N")</f>
        <v>N</v>
      </c>
      <c r="G249" s="13" t="s">
        <v>24</v>
      </c>
      <c r="H249" s="13" t="s">
        <v>21</v>
      </c>
      <c r="I249" s="13" t="s">
        <v>21</v>
      </c>
      <c r="J249" s="13" t="s">
        <v>21</v>
      </c>
      <c r="K249" s="13" t="s">
        <v>21</v>
      </c>
      <c r="L249" s="13" t="s">
        <v>21</v>
      </c>
      <c r="M249" s="13" t="s">
        <v>21</v>
      </c>
      <c r="N249" s="13" t="s">
        <v>21</v>
      </c>
      <c r="O249" s="13" t="s">
        <v>21</v>
      </c>
    </row>
    <row r="250" spans="1:15" x14ac:dyDescent="0.3">
      <c r="A250" s="17">
        <v>247</v>
      </c>
      <c r="B250" s="12" t="s">
        <v>279</v>
      </c>
      <c r="C250" s="12" t="s">
        <v>26</v>
      </c>
      <c r="D250" s="13" t="str">
        <f>IF(OR(TabEmbargos[[#This Row],[Impedida sem Imissão na Posse]]="S",TabEmbargos[[#This Row],[Impedida com Imissão na Posse]]="S"),"E","L")</f>
        <v>L</v>
      </c>
      <c r="E250" s="13" t="str">
        <f>IF(COUNTIF(TabEmbargos[[#This Row],[Embargo Projeto]:[Embargo Meio Ambiente]],"S"),"S","N")</f>
        <v>N</v>
      </c>
      <c r="F250" s="13" t="str">
        <f>IF(AND(TabEmbargos[[#This Row],[Embargo Projeto]]="S",TabEmbargos[[#This Row],[Embargo Fundiário]]="S"),"S","N")</f>
        <v>N</v>
      </c>
      <c r="G250" s="13" t="s">
        <v>21</v>
      </c>
      <c r="H250" s="13" t="s">
        <v>21</v>
      </c>
      <c r="I250" s="13" t="s">
        <v>21</v>
      </c>
      <c r="J250" s="13" t="s">
        <v>21</v>
      </c>
      <c r="K250" s="13" t="s">
        <v>21</v>
      </c>
      <c r="L250" s="13" t="s">
        <v>21</v>
      </c>
      <c r="M250" s="13" t="s">
        <v>21</v>
      </c>
      <c r="N250" s="13" t="s">
        <v>21</v>
      </c>
      <c r="O250" s="13" t="s">
        <v>21</v>
      </c>
    </row>
    <row r="251" spans="1:15" x14ac:dyDescent="0.3">
      <c r="A251" s="17">
        <v>248</v>
      </c>
      <c r="B251" s="12" t="s">
        <v>280</v>
      </c>
      <c r="C251" s="12" t="s">
        <v>52</v>
      </c>
      <c r="D251" s="13" t="str">
        <f>IF(OR(TabEmbargos[[#This Row],[Impedida sem Imissão na Posse]]="S",TabEmbargos[[#This Row],[Impedida com Imissão na Posse]]="S"),"E","L")</f>
        <v>L</v>
      </c>
      <c r="E251" s="13" t="str">
        <f>IF(COUNTIF(TabEmbargos[[#This Row],[Embargo Projeto]:[Embargo Meio Ambiente]],"S"),"S","N")</f>
        <v>N</v>
      </c>
      <c r="F251" s="13" t="str">
        <f>IF(AND(TabEmbargos[[#This Row],[Embargo Projeto]]="S",TabEmbargos[[#This Row],[Embargo Fundiário]]="S"),"S","N")</f>
        <v>N</v>
      </c>
      <c r="G251" s="13" t="s">
        <v>24</v>
      </c>
      <c r="H251" s="13" t="s">
        <v>21</v>
      </c>
      <c r="I251" s="13" t="s">
        <v>21</v>
      </c>
      <c r="J251" s="13" t="s">
        <v>21</v>
      </c>
      <c r="K251" s="13" t="s">
        <v>21</v>
      </c>
      <c r="L251" s="13" t="s">
        <v>21</v>
      </c>
      <c r="M251" s="13" t="s">
        <v>21</v>
      </c>
      <c r="N251" s="13" t="s">
        <v>21</v>
      </c>
      <c r="O251" s="13" t="s">
        <v>21</v>
      </c>
    </row>
    <row r="252" spans="1:15" x14ac:dyDescent="0.3">
      <c r="A252" s="17">
        <v>249</v>
      </c>
      <c r="B252" s="12" t="s">
        <v>281</v>
      </c>
      <c r="C252" s="12" t="s">
        <v>52</v>
      </c>
      <c r="D252" s="13" t="str">
        <f>IF(OR(TabEmbargos[[#This Row],[Impedida sem Imissão na Posse]]="S",TabEmbargos[[#This Row],[Impedida com Imissão na Posse]]="S"),"E","L")</f>
        <v>L</v>
      </c>
      <c r="E252" s="13" t="str">
        <f>IF(COUNTIF(TabEmbargos[[#This Row],[Embargo Projeto]:[Embargo Meio Ambiente]],"S"),"S","N")</f>
        <v>N</v>
      </c>
      <c r="F252" s="13" t="str">
        <f>IF(AND(TabEmbargos[[#This Row],[Embargo Projeto]]="S",TabEmbargos[[#This Row],[Embargo Fundiário]]="S"),"S","N")</f>
        <v>N</v>
      </c>
      <c r="G252" s="13" t="s">
        <v>24</v>
      </c>
      <c r="H252" s="13" t="s">
        <v>21</v>
      </c>
      <c r="I252" s="13" t="s">
        <v>21</v>
      </c>
      <c r="J252" s="13" t="s">
        <v>21</v>
      </c>
      <c r="K252" s="13" t="s">
        <v>21</v>
      </c>
      <c r="L252" s="13" t="s">
        <v>21</v>
      </c>
      <c r="M252" s="13" t="s">
        <v>21</v>
      </c>
      <c r="N252" s="13" t="s">
        <v>21</v>
      </c>
      <c r="O252" s="13" t="s">
        <v>21</v>
      </c>
    </row>
    <row r="253" spans="1:15" x14ac:dyDescent="0.3">
      <c r="A253" s="17">
        <v>250</v>
      </c>
      <c r="B253" s="12" t="s">
        <v>282</v>
      </c>
      <c r="C253" s="12" t="s">
        <v>37</v>
      </c>
      <c r="D253" s="13" t="str">
        <f>IF(OR(TabEmbargos[[#This Row],[Impedida sem Imissão na Posse]]="S",TabEmbargos[[#This Row],[Impedida com Imissão na Posse]]="S"),"E","L")</f>
        <v>L</v>
      </c>
      <c r="E253" s="13" t="str">
        <f>IF(COUNTIF(TabEmbargos[[#This Row],[Embargo Projeto]:[Embargo Meio Ambiente]],"S"),"S","N")</f>
        <v>N</v>
      </c>
      <c r="F253" s="13" t="str">
        <f>IF(AND(TabEmbargos[[#This Row],[Embargo Projeto]]="S",TabEmbargos[[#This Row],[Embargo Fundiário]]="S"),"S","N")</f>
        <v>N</v>
      </c>
      <c r="G253" s="13" t="s">
        <v>21</v>
      </c>
      <c r="H253" s="13" t="s">
        <v>21</v>
      </c>
      <c r="I253" s="13" t="s">
        <v>21</v>
      </c>
      <c r="J253" s="13" t="s">
        <v>21</v>
      </c>
      <c r="K253" s="13" t="s">
        <v>21</v>
      </c>
      <c r="L253" s="13" t="s">
        <v>21</v>
      </c>
      <c r="M253" s="13" t="s">
        <v>21</v>
      </c>
      <c r="N253" s="13" t="s">
        <v>21</v>
      </c>
      <c r="O253" s="13" t="s">
        <v>21</v>
      </c>
    </row>
    <row r="254" spans="1:15" x14ac:dyDescent="0.3">
      <c r="A254" s="17">
        <v>251</v>
      </c>
      <c r="B254" s="12" t="s">
        <v>283</v>
      </c>
      <c r="C254" s="12" t="s">
        <v>32</v>
      </c>
      <c r="D254" s="13" t="str">
        <f>IF(OR(TabEmbargos[[#This Row],[Impedida sem Imissão na Posse]]="S",TabEmbargos[[#This Row],[Impedida com Imissão na Posse]]="S"),"E","L")</f>
        <v>L</v>
      </c>
      <c r="E254" s="13" t="str">
        <f>IF(COUNTIF(TabEmbargos[[#This Row],[Embargo Projeto]:[Embargo Meio Ambiente]],"S"),"S","N")</f>
        <v>N</v>
      </c>
      <c r="F254" s="13" t="str">
        <f>IF(AND(TabEmbargos[[#This Row],[Embargo Projeto]]="S",TabEmbargos[[#This Row],[Embargo Fundiário]]="S"),"S","N")</f>
        <v>N</v>
      </c>
      <c r="G254" s="13" t="s">
        <v>21</v>
      </c>
      <c r="H254" s="13" t="s">
        <v>21</v>
      </c>
      <c r="I254" s="13" t="s">
        <v>21</v>
      </c>
      <c r="J254" s="13" t="s">
        <v>21</v>
      </c>
      <c r="K254" s="13" t="s">
        <v>21</v>
      </c>
      <c r="L254" s="13" t="s">
        <v>21</v>
      </c>
      <c r="M254" s="13" t="s">
        <v>21</v>
      </c>
      <c r="N254" s="13" t="s">
        <v>21</v>
      </c>
      <c r="O254" s="13" t="s">
        <v>21</v>
      </c>
    </row>
    <row r="256" spans="1:15" ht="28.2" customHeight="1" x14ac:dyDescent="0.3">
      <c r="B256" t="s">
        <v>183</v>
      </c>
    </row>
  </sheetData>
  <mergeCells count="1">
    <mergeCell ref="B1:K1"/>
  </mergeCells>
  <conditionalFormatting sqref="B1:B1048576">
    <cfRule type="duplicateValues" dxfId="25" priority="5"/>
  </conditionalFormatting>
  <conditionalFormatting sqref="E4:G254 E3:O3">
    <cfRule type="cellIs" dxfId="24" priority="9" operator="equal">
      <formula>"S"</formula>
    </cfRule>
  </conditionalFormatting>
  <conditionalFormatting sqref="E2:K3 E4:G254 L3:O3">
    <cfRule type="cellIs" dxfId="23" priority="8" operator="equal">
      <formula>"N"</formula>
    </cfRule>
  </conditionalFormatting>
  <conditionalFormatting sqref="H4:K254">
    <cfRule type="cellIs" dxfId="22" priority="4" operator="equal">
      <formula>"S"</formula>
    </cfRule>
  </conditionalFormatting>
  <conditionalFormatting sqref="H4:K254">
    <cfRule type="cellIs" dxfId="21" priority="3" operator="equal">
      <formula>"N"</formula>
    </cfRule>
  </conditionalFormatting>
  <conditionalFormatting sqref="L4:O254">
    <cfRule type="cellIs" dxfId="20" priority="2" operator="equal">
      <formula>"S"</formula>
    </cfRule>
  </conditionalFormatting>
  <conditionalFormatting sqref="L4:O254">
    <cfRule type="cellIs" dxfId="19" priority="1" operator="equal">
      <formula>"N"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1D6A3B87-15FD-4007-A27C-F6894CA0A3FB}">
            <xm:f>NOT(ISERROR(SEARCH("L",D4)))</xm:f>
            <xm:f>"L"</xm:f>
            <x14:dxf>
              <font>
                <b/>
                <i val="0"/>
                <color rgb="FF00B050"/>
              </font>
            </x14:dxf>
          </x14:cfRule>
          <x14:cfRule type="containsText" priority="7" operator="containsText" id="{63F3A3D1-BA28-4B08-A445-4E51298509FF}">
            <xm:f>NOT(ISERROR(SEARCH("E",D4)))</xm:f>
            <xm:f>"E"</xm:f>
            <x14:dxf>
              <font>
                <b/>
                <i val="0"/>
                <color rgb="FFFF0000"/>
              </font>
            </x14:dxf>
          </x14:cfRule>
          <xm:sqref>D4:D254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Embargos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Freitas Freitas</dc:creator>
  <cp:lastModifiedBy>Juliano Freitas Freitas</cp:lastModifiedBy>
  <dcterms:created xsi:type="dcterms:W3CDTF">2024-05-21T12:53:23Z</dcterms:created>
  <dcterms:modified xsi:type="dcterms:W3CDTF">2024-05-21T12:53:38Z</dcterms:modified>
</cp:coreProperties>
</file>